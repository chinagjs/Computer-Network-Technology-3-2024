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E:\2026\教学\3班\"/>
    </mc:Choice>
  </mc:AlternateContent>
  <xr:revisionPtr revIDLastSave="0" documentId="13_ncr:1_{1024B5E9-C8A0-41E8-A209-5083868E64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考勤" sheetId="3" r:id="rId1"/>
    <sheet name="上机" sheetId="6" r:id="rId2"/>
    <sheet name="实验报告" sheetId="5" r:id="rId3"/>
    <sheet name="打扫卫生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9" i="5" l="1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<sst xmlns="http://schemas.openxmlformats.org/spreadsheetml/2006/main" count="563" uniqueCount="63">
  <si>
    <t>学号</t>
  </si>
  <si>
    <t>姓名</t>
  </si>
  <si>
    <t>成绩</t>
  </si>
  <si>
    <t>3.07-理论</t>
  </si>
  <si>
    <t>3.09-理论</t>
  </si>
  <si>
    <t>3.11-理论</t>
  </si>
  <si>
    <t>3.16理论</t>
  </si>
  <si>
    <t>3.18理论</t>
  </si>
  <si>
    <t>3.23理论</t>
  </si>
  <si>
    <t>3.25理论</t>
  </si>
  <si>
    <t>3.30理论</t>
  </si>
  <si>
    <t>李奥</t>
  </si>
  <si>
    <t>√</t>
  </si>
  <si>
    <t>官长皓</t>
  </si>
  <si>
    <t>×</t>
  </si>
  <si>
    <t>刘柯纬</t>
  </si>
  <si>
    <t>张智献</t>
  </si>
  <si>
    <t>肖笛</t>
  </si>
  <si>
    <t>宁佳怡</t>
  </si>
  <si>
    <t>宋端祥</t>
  </si>
  <si>
    <t>孙赫</t>
  </si>
  <si>
    <t>周欣慧</t>
  </si>
  <si>
    <t>孔繁浩</t>
  </si>
  <si>
    <t>王淑雨</t>
  </si>
  <si>
    <t>刘建平</t>
  </si>
  <si>
    <t>李志远</t>
  </si>
  <si>
    <t>李雨欣</t>
  </si>
  <si>
    <t>江春阳</t>
  </si>
  <si>
    <t>黄一坤</t>
  </si>
  <si>
    <t>朱锦涛</t>
  </si>
  <si>
    <t>姜立敏</t>
  </si>
  <si>
    <t>张在满</t>
  </si>
  <si>
    <t>马圣涵</t>
  </si>
  <si>
    <t>孙蓓</t>
  </si>
  <si>
    <t>陈金腾</t>
  </si>
  <si>
    <t>王安达</t>
  </si>
  <si>
    <t>石文凯</t>
  </si>
  <si>
    <t>祁志一</t>
  </si>
  <si>
    <t>梁亚伟</t>
  </si>
  <si>
    <t>田光宁</t>
  </si>
  <si>
    <t>高明玉</t>
  </si>
  <si>
    <t>崔斐艳</t>
  </si>
  <si>
    <t>翟文铄</t>
  </si>
  <si>
    <t>刘佳鹏</t>
  </si>
  <si>
    <t>张婧</t>
  </si>
  <si>
    <t>王化坤</t>
  </si>
  <si>
    <t>刘存铎</t>
  </si>
  <si>
    <t>李有梁</t>
  </si>
  <si>
    <t>陈时</t>
  </si>
  <si>
    <t>于米朵</t>
  </si>
  <si>
    <t>张初晨</t>
  </si>
  <si>
    <t>刘倩惠</t>
  </si>
  <si>
    <t>张顺</t>
  </si>
  <si>
    <t>刘明义</t>
  </si>
  <si>
    <t>郝江涛</t>
  </si>
  <si>
    <t>侯明幸</t>
  </si>
  <si>
    <t>葛欣宇</t>
  </si>
  <si>
    <t>刘雨蒙</t>
  </si>
  <si>
    <t>√、正常、△、迟到、○早退、×缺勤</t>
  </si>
  <si>
    <t>高顼研</t>
  </si>
  <si>
    <t>夹梦娅</t>
  </si>
  <si>
    <r>
      <t>4</t>
    </r>
    <r>
      <rPr>
        <sz val="11"/>
        <color theme="1"/>
        <rFont val="等线"/>
        <family val="3"/>
        <charset val="134"/>
        <scheme val="minor"/>
      </rPr>
      <t>.01实验</t>
    </r>
    <phoneticPr fontId="12" type="noConversion"/>
  </si>
  <si>
    <t>4.08实验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</si>
</sst>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color theme="9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sz val="9"/>
      <color theme="1"/>
      <name val="Arial"/>
      <family val="2"/>
    </font>
    <font>
      <sz val="9"/>
      <color rgb="FF333333"/>
      <name val="Arial"/>
      <family val="2"/>
    </font>
    <font>
      <sz val="9"/>
      <color theme="6" tint="0.39963988158818325"/>
      <name val="Arial"/>
      <family val="2"/>
    </font>
    <font>
      <sz val="9"/>
      <color rgb="FF333333"/>
      <name val="宋体"/>
      <charset val="134"/>
    </font>
    <font>
      <sz val="18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6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4" fontId="0" fillId="0" borderId="0" xfId="0" applyNumberFormat="1"/>
    <xf numFmtId="0" fontId="6" fillId="2" borderId="0" xfId="0" applyFont="1" applyFill="1" applyBorder="1" applyAlignment="1">
      <alignment horizontal="left" vertical="top"/>
    </xf>
    <xf numFmtId="0" fontId="9" fillId="0" borderId="0" xfId="0" applyFont="1"/>
    <xf numFmtId="0" fontId="10" fillId="0" borderId="0" xfId="0" applyFont="1"/>
    <xf numFmtId="49" fontId="0" fillId="0" borderId="0" xfId="0" applyNumberFormat="1"/>
    <xf numFmtId="0" fontId="0" fillId="0" borderId="0" xfId="0" applyFont="1"/>
    <xf numFmtId="0" fontId="13" fillId="0" borderId="0" xfId="0" applyFont="1"/>
    <xf numFmtId="0" fontId="11" fillId="0" borderId="0" xfId="0" applyFont="1" applyAlignment="1"/>
    <xf numFmtId="0" fontId="0" fillId="0" borderId="0" xfId="0" applyAlignme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0"/>
  <sheetViews>
    <sheetView tabSelected="1" topLeftCell="A7" zoomScale="265" zoomScaleNormal="265" workbookViewId="0">
      <pane xSplit="3" topLeftCell="J1" activePane="topRight" state="frozen"/>
      <selection pane="topRight" activeCell="C31" sqref="C31"/>
    </sheetView>
  </sheetViews>
  <sheetFormatPr defaultColWidth="9" defaultRowHeight="14.25" x14ac:dyDescent="0.2"/>
  <cols>
    <col min="1" max="1" width="10.25" customWidth="1"/>
  </cols>
  <sheetData>
    <row r="1" spans="1:34" x14ac:dyDescent="0.2">
      <c r="A1" s="25" t="s">
        <v>0</v>
      </c>
      <c r="B1" s="25" t="s">
        <v>1</v>
      </c>
      <c r="C1" s="27" t="s">
        <v>2</v>
      </c>
    </row>
    <row r="2" spans="1:34" x14ac:dyDescent="0.2">
      <c r="A2" s="26"/>
      <c r="B2" s="26"/>
      <c r="C2" s="27"/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2" t="s">
        <v>61</v>
      </c>
      <c r="M2" s="22" t="s">
        <v>62</v>
      </c>
      <c r="O2" s="20"/>
      <c r="AF2" s="21"/>
      <c r="AH2" s="21"/>
    </row>
    <row r="3" spans="1:34" x14ac:dyDescent="0.2">
      <c r="A3" s="10">
        <v>2452020005</v>
      </c>
      <c r="B3" s="10" t="s">
        <v>11</v>
      </c>
      <c r="C3">
        <f>100-COUNTIF(D3:AZ3,"×")*3</f>
        <v>100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</row>
    <row r="4" spans="1:34" x14ac:dyDescent="0.2">
      <c r="A4" s="9">
        <v>2452020012</v>
      </c>
      <c r="B4" s="9" t="s">
        <v>13</v>
      </c>
      <c r="C4">
        <f>100-COUNTIF(D4:AZ4,"×")*3</f>
        <v>91</v>
      </c>
      <c r="D4" t="s">
        <v>12</v>
      </c>
      <c r="E4" t="s">
        <v>12</v>
      </c>
      <c r="F4" t="s">
        <v>12</v>
      </c>
      <c r="G4" t="s">
        <v>12</v>
      </c>
      <c r="H4" t="s">
        <v>14</v>
      </c>
      <c r="I4" t="s">
        <v>12</v>
      </c>
      <c r="J4" t="s">
        <v>14</v>
      </c>
      <c r="K4" t="s">
        <v>12</v>
      </c>
      <c r="L4" t="s">
        <v>12</v>
      </c>
      <c r="M4" t="s">
        <v>14</v>
      </c>
    </row>
    <row r="5" spans="1:34" x14ac:dyDescent="0.2">
      <c r="A5" s="10">
        <v>2452020033</v>
      </c>
      <c r="B5" s="10" t="s">
        <v>15</v>
      </c>
      <c r="C5">
        <f>100-COUNTIF(D5:AZ5,"×")*3</f>
        <v>79</v>
      </c>
      <c r="D5" t="s">
        <v>12</v>
      </c>
      <c r="E5" t="s">
        <v>12</v>
      </c>
      <c r="F5" t="s">
        <v>14</v>
      </c>
      <c r="G5" t="s">
        <v>14</v>
      </c>
      <c r="H5" t="s">
        <v>14</v>
      </c>
      <c r="I5" t="s">
        <v>14</v>
      </c>
      <c r="J5" t="s">
        <v>12</v>
      </c>
      <c r="K5" t="s">
        <v>14</v>
      </c>
      <c r="L5" t="s">
        <v>14</v>
      </c>
      <c r="M5" t="s">
        <v>14</v>
      </c>
    </row>
    <row r="6" spans="1:34" x14ac:dyDescent="0.2">
      <c r="A6" s="9">
        <v>2452020048</v>
      </c>
      <c r="B6" s="9" t="s">
        <v>16</v>
      </c>
      <c r="C6">
        <f>100-COUNTIF(D6:AZ6,"×")*3</f>
        <v>97</v>
      </c>
      <c r="D6" t="s">
        <v>12</v>
      </c>
      <c r="E6" t="s">
        <v>12</v>
      </c>
      <c r="F6" t="s">
        <v>14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Y6" s="21"/>
    </row>
    <row r="7" spans="1:34" x14ac:dyDescent="0.2">
      <c r="A7" s="10">
        <v>2452020059</v>
      </c>
      <c r="B7" s="10" t="s">
        <v>17</v>
      </c>
      <c r="C7">
        <f>110-COUNTIF(D7:AZ7,"×")*3</f>
        <v>80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34" x14ac:dyDescent="0.2">
      <c r="A8" s="9">
        <v>2452020062</v>
      </c>
      <c r="B8" s="9" t="s">
        <v>18</v>
      </c>
      <c r="C8">
        <f>100-COUNTIF(D8:AZ8,"×")*3</f>
        <v>97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14</v>
      </c>
    </row>
    <row r="9" spans="1:34" x14ac:dyDescent="0.2">
      <c r="A9" s="10">
        <v>2452020068</v>
      </c>
      <c r="B9" s="10" t="s">
        <v>19</v>
      </c>
      <c r="C9">
        <f>100-COUNTIF(D9:AZ9,"×")*3</f>
        <v>94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14</v>
      </c>
      <c r="J9" t="s">
        <v>12</v>
      </c>
      <c r="K9" t="s">
        <v>12</v>
      </c>
      <c r="L9" t="s">
        <v>12</v>
      </c>
      <c r="M9" t="s">
        <v>14</v>
      </c>
    </row>
    <row r="10" spans="1:34" x14ac:dyDescent="0.2">
      <c r="A10" s="9">
        <v>2452020071</v>
      </c>
      <c r="B10" s="9" t="s">
        <v>20</v>
      </c>
      <c r="C10">
        <f>100-COUNTIF(D10:AZ10,"×")*3</f>
        <v>88</v>
      </c>
      <c r="D10" t="s">
        <v>12</v>
      </c>
      <c r="E10" t="s">
        <v>12</v>
      </c>
      <c r="F10" t="s">
        <v>12</v>
      </c>
      <c r="G10" t="s">
        <v>12</v>
      </c>
      <c r="H10" t="s">
        <v>14</v>
      </c>
      <c r="I10" t="s">
        <v>12</v>
      </c>
      <c r="J10" t="s">
        <v>14</v>
      </c>
      <c r="K10" t="s">
        <v>12</v>
      </c>
      <c r="L10" t="s">
        <v>14</v>
      </c>
      <c r="M10" t="s">
        <v>14</v>
      </c>
    </row>
    <row r="11" spans="1:34" x14ac:dyDescent="0.2">
      <c r="A11" s="9">
        <v>2452020091</v>
      </c>
      <c r="B11" s="9" t="s">
        <v>21</v>
      </c>
      <c r="C11">
        <f t="shared" ref="C11:C25" si="0">100-COUNTIF(D11:AZ11,"×")*3</f>
        <v>100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</row>
    <row r="12" spans="1:34" x14ac:dyDescent="0.2">
      <c r="A12" s="10">
        <v>2452020094</v>
      </c>
      <c r="B12" s="10" t="s">
        <v>22</v>
      </c>
      <c r="C12">
        <f t="shared" si="0"/>
        <v>94</v>
      </c>
      <c r="D12" t="s">
        <v>14</v>
      </c>
      <c r="E12" t="s">
        <v>14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</row>
    <row r="13" spans="1:34" x14ac:dyDescent="0.2">
      <c r="A13" s="9">
        <v>2452020098</v>
      </c>
      <c r="B13" s="9" t="s">
        <v>23</v>
      </c>
      <c r="C13">
        <f t="shared" si="0"/>
        <v>100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</row>
    <row r="14" spans="1:34" x14ac:dyDescent="0.2">
      <c r="A14" s="10">
        <v>2452020105</v>
      </c>
      <c r="B14" s="10" t="s">
        <v>24</v>
      </c>
      <c r="C14">
        <f t="shared" si="0"/>
        <v>100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</row>
    <row r="15" spans="1:34" x14ac:dyDescent="0.2">
      <c r="A15" s="9">
        <v>2452020117</v>
      </c>
      <c r="B15" s="9" t="s">
        <v>25</v>
      </c>
      <c r="C15">
        <f t="shared" si="0"/>
        <v>70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34" x14ac:dyDescent="0.2">
      <c r="A16" s="10">
        <v>2452020132</v>
      </c>
      <c r="B16" s="10" t="s">
        <v>26</v>
      </c>
      <c r="C16">
        <f t="shared" si="0"/>
        <v>100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</row>
    <row r="17" spans="1:13" x14ac:dyDescent="0.2">
      <c r="A17" s="9">
        <v>2452020133</v>
      </c>
      <c r="B17" s="9" t="s">
        <v>27</v>
      </c>
      <c r="C17">
        <f t="shared" si="0"/>
        <v>94</v>
      </c>
      <c r="D17" t="s">
        <v>12</v>
      </c>
      <c r="E17" t="s">
        <v>12</v>
      </c>
      <c r="F17" t="s">
        <v>12</v>
      </c>
      <c r="G17" t="s">
        <v>12</v>
      </c>
      <c r="H17" t="s">
        <v>14</v>
      </c>
      <c r="I17" t="s">
        <v>12</v>
      </c>
      <c r="J17" t="s">
        <v>12</v>
      </c>
      <c r="K17" t="s">
        <v>12</v>
      </c>
      <c r="L17" t="s">
        <v>14</v>
      </c>
      <c r="M17" t="s">
        <v>12</v>
      </c>
    </row>
    <row r="18" spans="1:13" x14ac:dyDescent="0.2">
      <c r="A18" s="10">
        <v>2452020143</v>
      </c>
      <c r="B18" s="10" t="s">
        <v>28</v>
      </c>
      <c r="C18">
        <f t="shared" si="0"/>
        <v>100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</row>
    <row r="19" spans="1:13" x14ac:dyDescent="0.2">
      <c r="A19" s="9">
        <v>2452020164</v>
      </c>
      <c r="B19" s="9" t="s">
        <v>29</v>
      </c>
      <c r="C19">
        <f t="shared" si="0"/>
        <v>100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12</v>
      </c>
    </row>
    <row r="20" spans="1:13" x14ac:dyDescent="0.2">
      <c r="A20" s="10">
        <v>2452020176</v>
      </c>
      <c r="B20" s="10" t="s">
        <v>30</v>
      </c>
      <c r="C20">
        <f t="shared" si="0"/>
        <v>100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</row>
    <row r="21" spans="1:13" x14ac:dyDescent="0.2">
      <c r="A21" s="9">
        <v>2452020203</v>
      </c>
      <c r="B21" s="9" t="s">
        <v>31</v>
      </c>
      <c r="C21">
        <f t="shared" si="0"/>
        <v>100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</row>
    <row r="22" spans="1:13" x14ac:dyDescent="0.2">
      <c r="A22" s="10">
        <v>2452020205</v>
      </c>
      <c r="B22" s="10" t="s">
        <v>32</v>
      </c>
      <c r="C22">
        <f t="shared" si="0"/>
        <v>100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</row>
    <row r="23" spans="1:13" x14ac:dyDescent="0.2">
      <c r="A23" s="9">
        <v>2452020236</v>
      </c>
      <c r="B23" s="9" t="s">
        <v>33</v>
      </c>
      <c r="C23">
        <f t="shared" si="0"/>
        <v>94</v>
      </c>
      <c r="D23" t="s">
        <v>14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14</v>
      </c>
    </row>
    <row r="24" spans="1:13" x14ac:dyDescent="0.2">
      <c r="A24" s="10">
        <v>2452020243</v>
      </c>
      <c r="B24" s="10" t="s">
        <v>34</v>
      </c>
      <c r="C24">
        <f t="shared" si="0"/>
        <v>70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2">
      <c r="A25" s="9">
        <v>2452020253</v>
      </c>
      <c r="B25" s="9" t="s">
        <v>35</v>
      </c>
      <c r="C25">
        <f t="shared" si="0"/>
        <v>82</v>
      </c>
      <c r="D25" t="s">
        <v>14</v>
      </c>
      <c r="E25" t="s">
        <v>14</v>
      </c>
      <c r="F25" t="s">
        <v>12</v>
      </c>
      <c r="G25" t="s">
        <v>12</v>
      </c>
      <c r="H25" t="s">
        <v>14</v>
      </c>
      <c r="I25" t="s">
        <v>14</v>
      </c>
      <c r="J25" t="s">
        <v>12</v>
      </c>
      <c r="K25" t="s">
        <v>14</v>
      </c>
      <c r="L25" t="s">
        <v>12</v>
      </c>
      <c r="M25" t="s">
        <v>14</v>
      </c>
    </row>
    <row r="26" spans="1:13" x14ac:dyDescent="0.2">
      <c r="A26" s="9">
        <v>2452020278</v>
      </c>
      <c r="B26" s="9" t="s">
        <v>36</v>
      </c>
      <c r="C26">
        <f t="shared" ref="C26:C47" si="1">100-COUNTIF(D26:AZ26,"×")*3</f>
        <v>100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</row>
    <row r="27" spans="1:13" x14ac:dyDescent="0.2">
      <c r="A27" s="10">
        <v>2452020293</v>
      </c>
      <c r="B27" s="10" t="s">
        <v>37</v>
      </c>
      <c r="C27">
        <f t="shared" si="1"/>
        <v>100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</row>
    <row r="28" spans="1:13" x14ac:dyDescent="0.2">
      <c r="A28" s="9">
        <v>2452020297</v>
      </c>
      <c r="B28" s="9" t="s">
        <v>38</v>
      </c>
      <c r="C28">
        <f t="shared" si="1"/>
        <v>97</v>
      </c>
      <c r="D28" t="s">
        <v>12</v>
      </c>
      <c r="E28" t="s">
        <v>12</v>
      </c>
      <c r="F28" t="s">
        <v>12</v>
      </c>
      <c r="G28" t="s">
        <v>14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</row>
    <row r="29" spans="1:13" x14ac:dyDescent="0.2">
      <c r="A29" s="10">
        <v>2452020298</v>
      </c>
      <c r="B29" s="10" t="s">
        <v>39</v>
      </c>
      <c r="C29">
        <f t="shared" si="1"/>
        <v>85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</row>
    <row r="30" spans="1:13" x14ac:dyDescent="0.2">
      <c r="A30" s="9">
        <v>2452020306</v>
      </c>
      <c r="B30" s="9" t="s">
        <v>40</v>
      </c>
      <c r="C30">
        <f t="shared" si="1"/>
        <v>97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14</v>
      </c>
    </row>
    <row r="31" spans="1:13" x14ac:dyDescent="0.2">
      <c r="A31" s="10">
        <v>2452020309</v>
      </c>
      <c r="B31" s="10" t="s">
        <v>41</v>
      </c>
      <c r="C31">
        <f>110-COUNTIF(D31:AZ31,"×")*3</f>
        <v>107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14</v>
      </c>
      <c r="J31" t="s">
        <v>12</v>
      </c>
      <c r="K31" t="s">
        <v>12</v>
      </c>
      <c r="L31" t="s">
        <v>12</v>
      </c>
      <c r="M31" t="s">
        <v>12</v>
      </c>
    </row>
    <row r="32" spans="1:13" x14ac:dyDescent="0.2">
      <c r="A32" s="9">
        <v>2452020323</v>
      </c>
      <c r="B32" s="9" t="s">
        <v>42</v>
      </c>
      <c r="C32">
        <f t="shared" si="1"/>
        <v>100</v>
      </c>
      <c r="D32" t="s">
        <v>12</v>
      </c>
      <c r="E32" s="19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</row>
    <row r="33" spans="1:64" x14ac:dyDescent="0.2">
      <c r="A33" s="10">
        <v>2452020347</v>
      </c>
      <c r="B33" s="10" t="s">
        <v>43</v>
      </c>
      <c r="C33">
        <f t="shared" si="1"/>
        <v>97</v>
      </c>
      <c r="D33" t="s">
        <v>12</v>
      </c>
      <c r="E33" t="s">
        <v>12</v>
      </c>
      <c r="F33" t="s">
        <v>12</v>
      </c>
      <c r="G33" t="s">
        <v>12</v>
      </c>
      <c r="H33" t="s">
        <v>14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</row>
    <row r="34" spans="1:64" x14ac:dyDescent="0.2">
      <c r="A34" s="9">
        <v>2452020357</v>
      </c>
      <c r="B34" s="9" t="s">
        <v>44</v>
      </c>
      <c r="C34">
        <f t="shared" si="1"/>
        <v>94</v>
      </c>
      <c r="D34" t="s">
        <v>14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14</v>
      </c>
    </row>
    <row r="35" spans="1:64" x14ac:dyDescent="0.2">
      <c r="A35" s="10">
        <v>2452020371</v>
      </c>
      <c r="B35" s="10" t="s">
        <v>45</v>
      </c>
      <c r="C35">
        <f t="shared" si="1"/>
        <v>100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</row>
    <row r="36" spans="1:64" x14ac:dyDescent="0.2">
      <c r="A36" s="9">
        <v>2452020381</v>
      </c>
      <c r="B36" s="9" t="s">
        <v>46</v>
      </c>
      <c r="C36">
        <f t="shared" si="1"/>
        <v>88</v>
      </c>
      <c r="D36" t="s">
        <v>14</v>
      </c>
      <c r="E36" t="s">
        <v>12</v>
      </c>
      <c r="F36" t="s">
        <v>14</v>
      </c>
      <c r="G36" t="s">
        <v>12</v>
      </c>
      <c r="H36" t="s">
        <v>14</v>
      </c>
      <c r="I36" t="s">
        <v>12</v>
      </c>
      <c r="J36" t="s">
        <v>12</v>
      </c>
      <c r="K36" t="s">
        <v>12</v>
      </c>
      <c r="L36" t="s">
        <v>12</v>
      </c>
      <c r="M36" t="s">
        <v>14</v>
      </c>
    </row>
    <row r="37" spans="1:64" x14ac:dyDescent="0.2">
      <c r="A37" s="10">
        <v>2452020390</v>
      </c>
      <c r="B37" s="10" t="s">
        <v>47</v>
      </c>
      <c r="C37">
        <f t="shared" si="1"/>
        <v>91</v>
      </c>
      <c r="D37" t="s">
        <v>12</v>
      </c>
      <c r="E37" t="s">
        <v>12</v>
      </c>
      <c r="F37" t="s">
        <v>14</v>
      </c>
      <c r="G37" t="s">
        <v>14</v>
      </c>
      <c r="H37" t="s">
        <v>14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</row>
    <row r="38" spans="1:64" x14ac:dyDescent="0.2">
      <c r="A38" s="9">
        <v>2452020397</v>
      </c>
      <c r="B38" s="9" t="s">
        <v>48</v>
      </c>
      <c r="C38">
        <f t="shared" si="1"/>
        <v>94</v>
      </c>
      <c r="D38" t="s">
        <v>12</v>
      </c>
      <c r="E38" t="s">
        <v>12</v>
      </c>
      <c r="F38" t="s">
        <v>12</v>
      </c>
      <c r="G38" t="s">
        <v>12</v>
      </c>
      <c r="H38" t="s">
        <v>14</v>
      </c>
      <c r="I38" t="s">
        <v>14</v>
      </c>
      <c r="J38" t="s">
        <v>12</v>
      </c>
      <c r="K38" t="s">
        <v>12</v>
      </c>
      <c r="L38" t="s">
        <v>12</v>
      </c>
      <c r="M38" t="s">
        <v>12</v>
      </c>
    </row>
    <row r="39" spans="1:64" x14ac:dyDescent="0.2">
      <c r="A39" s="10">
        <v>2452020410</v>
      </c>
      <c r="B39" s="10" t="s">
        <v>49</v>
      </c>
      <c r="C39">
        <f t="shared" si="1"/>
        <v>97</v>
      </c>
      <c r="D39" t="s">
        <v>14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</row>
    <row r="40" spans="1:64" x14ac:dyDescent="0.2">
      <c r="A40" s="9">
        <v>2452020421</v>
      </c>
      <c r="B40" s="9" t="s">
        <v>50</v>
      </c>
      <c r="C40">
        <f t="shared" si="1"/>
        <v>97</v>
      </c>
      <c r="D40" t="s">
        <v>14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</row>
    <row r="41" spans="1:64" x14ac:dyDescent="0.2">
      <c r="A41" s="10">
        <v>2452020424</v>
      </c>
      <c r="B41" s="10" t="s">
        <v>51</v>
      </c>
      <c r="C41">
        <f t="shared" si="1"/>
        <v>73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12</v>
      </c>
    </row>
    <row r="42" spans="1:64" x14ac:dyDescent="0.2">
      <c r="A42" s="9">
        <v>2452020454</v>
      </c>
      <c r="B42" s="9" t="s">
        <v>52</v>
      </c>
      <c r="C42">
        <f t="shared" si="1"/>
        <v>88</v>
      </c>
      <c r="D42" t="s">
        <v>12</v>
      </c>
      <c r="E42" t="s">
        <v>12</v>
      </c>
      <c r="F42" t="s">
        <v>12</v>
      </c>
      <c r="G42" t="s">
        <v>12</v>
      </c>
      <c r="H42" t="s">
        <v>14</v>
      </c>
      <c r="I42" t="s">
        <v>12</v>
      </c>
      <c r="J42" t="s">
        <v>14</v>
      </c>
      <c r="K42" t="s">
        <v>12</v>
      </c>
      <c r="L42" t="s">
        <v>14</v>
      </c>
      <c r="M42" t="s">
        <v>14</v>
      </c>
    </row>
    <row r="43" spans="1:64" x14ac:dyDescent="0.2">
      <c r="A43" s="10">
        <v>2452020478</v>
      </c>
      <c r="B43" s="10" t="s">
        <v>53</v>
      </c>
      <c r="C43">
        <f t="shared" si="1"/>
        <v>70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64" x14ac:dyDescent="0.2">
      <c r="A44" s="9">
        <v>2452020484</v>
      </c>
      <c r="B44" s="9" t="s">
        <v>54</v>
      </c>
      <c r="C44">
        <f t="shared" si="1"/>
        <v>79</v>
      </c>
      <c r="D44" t="s">
        <v>12</v>
      </c>
      <c r="E44" t="s">
        <v>14</v>
      </c>
      <c r="F44" t="s">
        <v>14</v>
      </c>
      <c r="G44" t="s">
        <v>12</v>
      </c>
      <c r="H44" t="s">
        <v>14</v>
      </c>
      <c r="I44" t="s">
        <v>14</v>
      </c>
      <c r="J44" t="s">
        <v>14</v>
      </c>
      <c r="K44" t="s">
        <v>12</v>
      </c>
      <c r="L44" t="s">
        <v>14</v>
      </c>
      <c r="M44" t="s">
        <v>14</v>
      </c>
    </row>
    <row r="45" spans="1:64" x14ac:dyDescent="0.2">
      <c r="A45" s="10">
        <v>2452020759</v>
      </c>
      <c r="B45" s="10" t="s">
        <v>55</v>
      </c>
      <c r="C45">
        <f t="shared" si="1"/>
        <v>70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64" x14ac:dyDescent="0.2">
      <c r="A46" s="9">
        <v>2452020821</v>
      </c>
      <c r="B46" s="9" t="s">
        <v>56</v>
      </c>
      <c r="C46">
        <f t="shared" si="1"/>
        <v>94</v>
      </c>
      <c r="D46" t="s">
        <v>14</v>
      </c>
      <c r="E46" t="s">
        <v>14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</row>
    <row r="47" spans="1:64" x14ac:dyDescent="0.2">
      <c r="A47" s="10">
        <v>2452020828</v>
      </c>
      <c r="B47" s="10" t="s">
        <v>57</v>
      </c>
      <c r="C47">
        <f t="shared" si="1"/>
        <v>94</v>
      </c>
      <c r="D47" t="s">
        <v>14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14</v>
      </c>
      <c r="M47" t="s">
        <v>12</v>
      </c>
    </row>
    <row r="48" spans="1:64" ht="78" customHeight="1" x14ac:dyDescent="0.2">
      <c r="D48">
        <f>COUNTIF(D3:D47,"×")</f>
        <v>16</v>
      </c>
      <c r="E48">
        <f t="shared" ref="E48:BL48" si="2">COUNTIF(E3:E47,"×")</f>
        <v>11</v>
      </c>
      <c r="F48">
        <f t="shared" si="2"/>
        <v>12</v>
      </c>
      <c r="G48">
        <f t="shared" si="2"/>
        <v>10</v>
      </c>
      <c r="H48">
        <f t="shared" si="2"/>
        <v>18</v>
      </c>
      <c r="I48">
        <f t="shared" si="2"/>
        <v>12</v>
      </c>
      <c r="J48">
        <f t="shared" si="2"/>
        <v>10</v>
      </c>
      <c r="K48">
        <f t="shared" si="2"/>
        <v>8</v>
      </c>
      <c r="L48">
        <f t="shared" si="2"/>
        <v>12</v>
      </c>
      <c r="M48">
        <f t="shared" si="2"/>
        <v>17</v>
      </c>
      <c r="N48">
        <f t="shared" si="2"/>
        <v>0</v>
      </c>
      <c r="O48">
        <f t="shared" si="2"/>
        <v>0</v>
      </c>
      <c r="P48">
        <f t="shared" si="2"/>
        <v>0</v>
      </c>
      <c r="Q48">
        <f t="shared" si="2"/>
        <v>0</v>
      </c>
      <c r="R48">
        <f t="shared" si="2"/>
        <v>0</v>
      </c>
      <c r="S48">
        <f t="shared" si="2"/>
        <v>0</v>
      </c>
      <c r="T48">
        <f t="shared" si="2"/>
        <v>0</v>
      </c>
      <c r="U48">
        <f t="shared" si="2"/>
        <v>0</v>
      </c>
      <c r="V48">
        <f t="shared" si="2"/>
        <v>0</v>
      </c>
      <c r="W48">
        <f t="shared" si="2"/>
        <v>0</v>
      </c>
      <c r="X48">
        <f t="shared" si="2"/>
        <v>0</v>
      </c>
      <c r="Y48">
        <f t="shared" si="2"/>
        <v>0</v>
      </c>
      <c r="Z48">
        <f t="shared" si="2"/>
        <v>0</v>
      </c>
      <c r="AA48">
        <f t="shared" si="2"/>
        <v>0</v>
      </c>
      <c r="AB48">
        <f t="shared" si="2"/>
        <v>0</v>
      </c>
      <c r="AC48">
        <f t="shared" si="2"/>
        <v>0</v>
      </c>
      <c r="AD48">
        <f t="shared" si="2"/>
        <v>0</v>
      </c>
      <c r="AE48">
        <f t="shared" si="2"/>
        <v>0</v>
      </c>
      <c r="AF48">
        <f t="shared" si="2"/>
        <v>0</v>
      </c>
      <c r="AG48">
        <f t="shared" si="2"/>
        <v>0</v>
      </c>
      <c r="AH48">
        <f t="shared" si="2"/>
        <v>0</v>
      </c>
      <c r="AI48">
        <f t="shared" si="2"/>
        <v>0</v>
      </c>
      <c r="AJ48">
        <f t="shared" si="2"/>
        <v>0</v>
      </c>
      <c r="AK48">
        <f t="shared" si="2"/>
        <v>0</v>
      </c>
      <c r="AL48">
        <f t="shared" si="2"/>
        <v>0</v>
      </c>
      <c r="AM48">
        <f t="shared" si="2"/>
        <v>0</v>
      </c>
      <c r="AN48">
        <f t="shared" si="2"/>
        <v>0</v>
      </c>
      <c r="AO48">
        <f t="shared" si="2"/>
        <v>0</v>
      </c>
      <c r="AP48">
        <f t="shared" si="2"/>
        <v>0</v>
      </c>
      <c r="AQ48">
        <f t="shared" si="2"/>
        <v>0</v>
      </c>
      <c r="AR48">
        <f t="shared" si="2"/>
        <v>0</v>
      </c>
      <c r="AS48">
        <f t="shared" si="2"/>
        <v>0</v>
      </c>
      <c r="AT48">
        <f t="shared" si="2"/>
        <v>0</v>
      </c>
      <c r="AU48">
        <f t="shared" si="2"/>
        <v>0</v>
      </c>
      <c r="AV48">
        <f t="shared" si="2"/>
        <v>0</v>
      </c>
      <c r="AW48">
        <f t="shared" si="2"/>
        <v>0</v>
      </c>
      <c r="AX48">
        <f t="shared" si="2"/>
        <v>0</v>
      </c>
      <c r="AY48">
        <f t="shared" si="2"/>
        <v>0</v>
      </c>
      <c r="AZ48">
        <f t="shared" si="2"/>
        <v>0</v>
      </c>
      <c r="BA48">
        <f t="shared" si="2"/>
        <v>0</v>
      </c>
      <c r="BB48">
        <f t="shared" si="2"/>
        <v>0</v>
      </c>
      <c r="BC48">
        <f t="shared" si="2"/>
        <v>0</v>
      </c>
      <c r="BD48">
        <f t="shared" si="2"/>
        <v>0</v>
      </c>
      <c r="BE48">
        <f t="shared" si="2"/>
        <v>0</v>
      </c>
      <c r="BF48">
        <f t="shared" si="2"/>
        <v>0</v>
      </c>
      <c r="BG48">
        <f t="shared" si="2"/>
        <v>0</v>
      </c>
      <c r="BH48">
        <f t="shared" si="2"/>
        <v>0</v>
      </c>
      <c r="BI48">
        <f t="shared" si="2"/>
        <v>0</v>
      </c>
      <c r="BJ48">
        <f t="shared" si="2"/>
        <v>0</v>
      </c>
      <c r="BK48">
        <f t="shared" si="2"/>
        <v>0</v>
      </c>
      <c r="BL48">
        <f t="shared" si="2"/>
        <v>0</v>
      </c>
    </row>
    <row r="50" spans="8:15" ht="30" x14ac:dyDescent="0.4">
      <c r="H50" s="23" t="s">
        <v>58</v>
      </c>
      <c r="I50" s="24"/>
      <c r="J50" s="24"/>
      <c r="K50" s="24"/>
      <c r="L50" s="24"/>
      <c r="M50" s="24"/>
      <c r="N50" s="24"/>
      <c r="O50" s="24"/>
    </row>
  </sheetData>
  <mergeCells count="4">
    <mergeCell ref="H50:O50"/>
    <mergeCell ref="A1:A2"/>
    <mergeCell ref="B1:B2"/>
    <mergeCell ref="C1:C2"/>
  </mergeCells>
  <phoneticPr fontId="12" type="noConversion"/>
  <conditionalFormatting sqref="C1:C1048576">
    <cfRule type="colorScale" priority="1">
      <colorScale>
        <cfvo type="percentile" val="20"/>
        <cfvo type="percent" val="10"/>
        <color rgb="FFFF7128"/>
        <color theme="9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 x14ac:dyDescent="0.2"/>
  <sheetData/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>
      <selection activeCell="B1" sqref="B1:B1048576"/>
    </sheetView>
  </sheetViews>
  <sheetFormatPr defaultColWidth="9" defaultRowHeight="14.25" x14ac:dyDescent="0.2"/>
  <cols>
    <col min="3" max="3" width="15.625" customWidth="1"/>
    <col min="4" max="5" width="11.125" customWidth="1"/>
  </cols>
  <sheetData>
    <row r="1" spans="1:5" x14ac:dyDescent="0.2">
      <c r="A1" s="25" t="s">
        <v>1</v>
      </c>
      <c r="B1" s="14"/>
    </row>
    <row r="2" spans="1:5" x14ac:dyDescent="0.2">
      <c r="A2" s="26"/>
      <c r="B2" s="15" t="s">
        <v>2</v>
      </c>
      <c r="C2" s="16"/>
      <c r="D2" s="16"/>
      <c r="E2" s="16"/>
    </row>
    <row r="3" spans="1:5" ht="23.25" x14ac:dyDescent="0.35">
      <c r="A3" s="10" t="s">
        <v>11</v>
      </c>
      <c r="B3" s="17">
        <f>100-COUNTIF(C3:AZ3,"△")*30</f>
        <v>100</v>
      </c>
      <c r="C3" s="18"/>
      <c r="D3" s="18"/>
    </row>
    <row r="4" spans="1:5" ht="23.25" x14ac:dyDescent="0.35">
      <c r="A4" s="9" t="s">
        <v>13</v>
      </c>
      <c r="B4" s="17">
        <f t="shared" ref="B4:B49" si="0">100-COUNTIF(C4:AZ4,"△")*30</f>
        <v>100</v>
      </c>
      <c r="C4" s="18"/>
      <c r="D4" s="18"/>
    </row>
    <row r="5" spans="1:5" ht="23.25" x14ac:dyDescent="0.35">
      <c r="A5" s="10" t="s">
        <v>15</v>
      </c>
      <c r="B5" s="17">
        <f t="shared" si="0"/>
        <v>100</v>
      </c>
      <c r="C5" s="18"/>
      <c r="D5" s="18"/>
      <c r="E5" s="18"/>
    </row>
    <row r="6" spans="1:5" ht="23.25" x14ac:dyDescent="0.35">
      <c r="A6" s="9" t="s">
        <v>16</v>
      </c>
      <c r="B6" s="17">
        <f t="shared" si="0"/>
        <v>100</v>
      </c>
      <c r="C6" s="18"/>
      <c r="D6" s="18"/>
    </row>
    <row r="7" spans="1:5" x14ac:dyDescent="0.2">
      <c r="A7" s="10" t="s">
        <v>17</v>
      </c>
      <c r="B7" s="17">
        <f t="shared" si="0"/>
        <v>100</v>
      </c>
    </row>
    <row r="8" spans="1:5" x14ac:dyDescent="0.2">
      <c r="A8" s="9" t="s">
        <v>18</v>
      </c>
      <c r="B8" s="17">
        <f t="shared" si="0"/>
        <v>100</v>
      </c>
    </row>
    <row r="9" spans="1:5" ht="23.25" x14ac:dyDescent="0.35">
      <c r="A9" s="10" t="s">
        <v>19</v>
      </c>
      <c r="B9" s="17">
        <f t="shared" si="0"/>
        <v>100</v>
      </c>
      <c r="D9" s="18"/>
    </row>
    <row r="10" spans="1:5" ht="23.25" x14ac:dyDescent="0.35">
      <c r="A10" s="9" t="s">
        <v>20</v>
      </c>
      <c r="B10" s="17">
        <f t="shared" si="0"/>
        <v>100</v>
      </c>
      <c r="C10" s="18"/>
      <c r="D10" s="18"/>
    </row>
    <row r="11" spans="1:5" ht="23.25" x14ac:dyDescent="0.35">
      <c r="A11" s="12" t="s">
        <v>59</v>
      </c>
      <c r="B11" s="17">
        <f t="shared" si="0"/>
        <v>100</v>
      </c>
      <c r="C11" s="18"/>
      <c r="D11" s="18"/>
      <c r="E11" s="18"/>
    </row>
    <row r="12" spans="1:5" ht="23.25" x14ac:dyDescent="0.35">
      <c r="A12" s="9" t="s">
        <v>21</v>
      </c>
      <c r="B12" s="17">
        <f t="shared" si="0"/>
        <v>100</v>
      </c>
      <c r="D12" s="18"/>
    </row>
    <row r="13" spans="1:5" ht="23.25" x14ac:dyDescent="0.35">
      <c r="A13" s="10" t="s">
        <v>22</v>
      </c>
      <c r="B13" s="17">
        <f t="shared" si="0"/>
        <v>100</v>
      </c>
      <c r="D13" s="18"/>
    </row>
    <row r="14" spans="1:5" ht="23.25" x14ac:dyDescent="0.35">
      <c r="A14" s="9" t="s">
        <v>23</v>
      </c>
      <c r="B14" s="17">
        <f t="shared" si="0"/>
        <v>100</v>
      </c>
      <c r="D14" s="18"/>
    </row>
    <row r="15" spans="1:5" ht="23.25" x14ac:dyDescent="0.35">
      <c r="A15" s="10" t="s">
        <v>24</v>
      </c>
      <c r="B15" s="17">
        <f t="shared" si="0"/>
        <v>100</v>
      </c>
      <c r="D15" s="18"/>
    </row>
    <row r="16" spans="1:5" ht="23.25" x14ac:dyDescent="0.35">
      <c r="A16" s="9" t="s">
        <v>25</v>
      </c>
      <c r="B16" s="17">
        <f t="shared" si="0"/>
        <v>100</v>
      </c>
      <c r="C16" s="18"/>
      <c r="D16" s="18"/>
      <c r="E16" s="18"/>
    </row>
    <row r="17" spans="1:5" ht="23.25" x14ac:dyDescent="0.35">
      <c r="A17" s="10" t="s">
        <v>26</v>
      </c>
      <c r="B17" s="17">
        <f t="shared" si="0"/>
        <v>100</v>
      </c>
      <c r="D17" s="18"/>
    </row>
    <row r="18" spans="1:5" ht="23.25" x14ac:dyDescent="0.35">
      <c r="A18" s="9" t="s">
        <v>27</v>
      </c>
      <c r="B18" s="17">
        <f t="shared" si="0"/>
        <v>100</v>
      </c>
      <c r="D18" s="18"/>
    </row>
    <row r="19" spans="1:5" ht="23.25" x14ac:dyDescent="0.35">
      <c r="A19" s="10" t="s">
        <v>28</v>
      </c>
      <c r="B19" s="17">
        <f t="shared" si="0"/>
        <v>100</v>
      </c>
      <c r="C19" s="18"/>
      <c r="D19" s="18"/>
      <c r="E19" s="18"/>
    </row>
    <row r="20" spans="1:5" ht="23.25" x14ac:dyDescent="0.35">
      <c r="A20" s="9" t="s">
        <v>29</v>
      </c>
      <c r="B20" s="17">
        <f t="shared" si="0"/>
        <v>100</v>
      </c>
      <c r="D20" s="18"/>
    </row>
    <row r="21" spans="1:5" ht="23.25" x14ac:dyDescent="0.35">
      <c r="A21" s="10" t="s">
        <v>30</v>
      </c>
      <c r="B21" s="17">
        <f t="shared" si="0"/>
        <v>100</v>
      </c>
      <c r="D21" s="18"/>
    </row>
    <row r="22" spans="1:5" x14ac:dyDescent="0.2">
      <c r="A22" s="9" t="s">
        <v>31</v>
      </c>
      <c r="B22" s="17">
        <f t="shared" si="0"/>
        <v>100</v>
      </c>
    </row>
    <row r="23" spans="1:5" x14ac:dyDescent="0.2">
      <c r="A23" s="10" t="s">
        <v>32</v>
      </c>
      <c r="B23" s="17">
        <f t="shared" si="0"/>
        <v>100</v>
      </c>
    </row>
    <row r="24" spans="1:5" ht="23.25" x14ac:dyDescent="0.35">
      <c r="A24" s="9" t="s">
        <v>33</v>
      </c>
      <c r="B24" s="17">
        <f t="shared" si="0"/>
        <v>100</v>
      </c>
      <c r="C24" s="18"/>
      <c r="D24" s="18"/>
      <c r="E24" s="18"/>
    </row>
    <row r="25" spans="1:5" ht="23.25" x14ac:dyDescent="0.35">
      <c r="A25" s="10" t="s">
        <v>34</v>
      </c>
      <c r="B25" s="17">
        <f t="shared" si="0"/>
        <v>100</v>
      </c>
      <c r="C25" s="18"/>
      <c r="D25" s="18"/>
      <c r="E25" s="18"/>
    </row>
    <row r="26" spans="1:5" ht="23.25" x14ac:dyDescent="0.35">
      <c r="A26" s="9" t="s">
        <v>35</v>
      </c>
      <c r="B26" s="17">
        <f t="shared" si="0"/>
        <v>100</v>
      </c>
      <c r="C26" s="18"/>
      <c r="D26" s="18"/>
      <c r="E26" s="18"/>
    </row>
    <row r="27" spans="1:5" ht="23.25" x14ac:dyDescent="0.35">
      <c r="A27" s="13" t="s">
        <v>60</v>
      </c>
      <c r="B27" s="17">
        <f t="shared" si="0"/>
        <v>100</v>
      </c>
      <c r="C27" s="18"/>
      <c r="D27" s="18"/>
      <c r="E27" s="18"/>
    </row>
    <row r="28" spans="1:5" x14ac:dyDescent="0.2">
      <c r="A28" s="9" t="s">
        <v>36</v>
      </c>
      <c r="B28" s="17">
        <f t="shared" si="0"/>
        <v>100</v>
      </c>
    </row>
    <row r="29" spans="1:5" x14ac:dyDescent="0.2">
      <c r="A29" s="10" t="s">
        <v>37</v>
      </c>
      <c r="B29" s="17">
        <f t="shared" si="0"/>
        <v>100</v>
      </c>
    </row>
    <row r="30" spans="1:5" ht="23.25" x14ac:dyDescent="0.35">
      <c r="A30" s="9" t="s">
        <v>38</v>
      </c>
      <c r="B30" s="17">
        <f t="shared" si="0"/>
        <v>100</v>
      </c>
      <c r="C30" s="18"/>
      <c r="D30" s="18"/>
      <c r="E30" s="18"/>
    </row>
    <row r="31" spans="1:5" ht="23.25" x14ac:dyDescent="0.35">
      <c r="A31" s="10" t="s">
        <v>39</v>
      </c>
      <c r="B31" s="17">
        <f t="shared" si="0"/>
        <v>100</v>
      </c>
      <c r="C31" s="18"/>
      <c r="D31" s="18"/>
      <c r="E31" s="18"/>
    </row>
    <row r="32" spans="1:5" ht="23.25" x14ac:dyDescent="0.35">
      <c r="A32" s="9" t="s">
        <v>40</v>
      </c>
      <c r="B32" s="17">
        <f t="shared" si="0"/>
        <v>100</v>
      </c>
      <c r="C32" s="18"/>
      <c r="D32" s="18"/>
    </row>
    <row r="33" spans="1:5" ht="23.25" x14ac:dyDescent="0.35">
      <c r="A33" s="10" t="s">
        <v>41</v>
      </c>
      <c r="B33" s="17">
        <f t="shared" si="0"/>
        <v>100</v>
      </c>
      <c r="C33" s="18"/>
    </row>
    <row r="34" spans="1:5" ht="23.25" x14ac:dyDescent="0.35">
      <c r="A34" s="9" t="s">
        <v>42</v>
      </c>
      <c r="B34" s="17">
        <f t="shared" si="0"/>
        <v>100</v>
      </c>
      <c r="C34" s="18"/>
      <c r="D34" s="18"/>
      <c r="E34" s="18"/>
    </row>
    <row r="35" spans="1:5" ht="23.25" x14ac:dyDescent="0.35">
      <c r="A35" s="10" t="s">
        <v>43</v>
      </c>
      <c r="B35" s="17">
        <f t="shared" si="0"/>
        <v>100</v>
      </c>
      <c r="C35" s="18"/>
      <c r="D35" s="18"/>
      <c r="E35" s="18"/>
    </row>
    <row r="36" spans="1:5" x14ac:dyDescent="0.2">
      <c r="A36" s="9" t="s">
        <v>44</v>
      </c>
      <c r="B36" s="17">
        <f t="shared" si="0"/>
        <v>100</v>
      </c>
    </row>
    <row r="37" spans="1:5" ht="23.25" x14ac:dyDescent="0.35">
      <c r="A37" s="10" t="s">
        <v>45</v>
      </c>
      <c r="B37" s="17">
        <f t="shared" si="0"/>
        <v>100</v>
      </c>
      <c r="D37" s="18"/>
      <c r="E37" s="18"/>
    </row>
    <row r="38" spans="1:5" ht="23.25" x14ac:dyDescent="0.35">
      <c r="A38" s="9" t="s">
        <v>46</v>
      </c>
      <c r="B38" s="17">
        <f t="shared" si="0"/>
        <v>100</v>
      </c>
      <c r="C38" s="18"/>
      <c r="D38" s="18"/>
      <c r="E38" s="18"/>
    </row>
    <row r="39" spans="1:5" ht="23.25" x14ac:dyDescent="0.35">
      <c r="A39" s="10" t="s">
        <v>47</v>
      </c>
      <c r="B39" s="17">
        <f t="shared" si="0"/>
        <v>100</v>
      </c>
      <c r="C39" s="18"/>
      <c r="D39" s="18"/>
      <c r="E39" s="18"/>
    </row>
    <row r="40" spans="1:5" ht="23.25" x14ac:dyDescent="0.35">
      <c r="A40" s="9" t="s">
        <v>48</v>
      </c>
      <c r="B40" s="17">
        <f t="shared" si="0"/>
        <v>100</v>
      </c>
      <c r="C40" s="18"/>
      <c r="D40" s="18"/>
      <c r="E40" s="18"/>
    </row>
    <row r="41" spans="1:5" ht="23.25" x14ac:dyDescent="0.35">
      <c r="A41" s="10" t="s">
        <v>49</v>
      </c>
      <c r="B41" s="17">
        <f t="shared" si="0"/>
        <v>100</v>
      </c>
      <c r="D41" s="18"/>
    </row>
    <row r="42" spans="1:5" ht="23.25" x14ac:dyDescent="0.35">
      <c r="A42" s="9" t="s">
        <v>50</v>
      </c>
      <c r="B42" s="17">
        <f t="shared" si="0"/>
        <v>100</v>
      </c>
      <c r="C42" s="18"/>
      <c r="D42" s="18"/>
      <c r="E42" s="18"/>
    </row>
    <row r="43" spans="1:5" x14ac:dyDescent="0.2">
      <c r="A43" s="10" t="s">
        <v>51</v>
      </c>
      <c r="B43" s="17">
        <f t="shared" si="0"/>
        <v>100</v>
      </c>
    </row>
    <row r="44" spans="1:5" ht="23.25" x14ac:dyDescent="0.35">
      <c r="A44" s="9" t="s">
        <v>52</v>
      </c>
      <c r="B44" s="17">
        <f t="shared" si="0"/>
        <v>100</v>
      </c>
      <c r="C44" s="18"/>
      <c r="D44" s="18"/>
      <c r="E44" s="18"/>
    </row>
    <row r="45" spans="1:5" ht="23.25" x14ac:dyDescent="0.35">
      <c r="A45" s="10" t="s">
        <v>53</v>
      </c>
      <c r="B45" s="17">
        <f t="shared" si="0"/>
        <v>100</v>
      </c>
      <c r="C45" s="18"/>
      <c r="D45" s="18"/>
      <c r="E45" s="18"/>
    </row>
    <row r="46" spans="1:5" ht="23.25" x14ac:dyDescent="0.35">
      <c r="A46" s="9" t="s">
        <v>54</v>
      </c>
      <c r="B46" s="17">
        <f t="shared" si="0"/>
        <v>100</v>
      </c>
      <c r="C46" s="18"/>
      <c r="D46" s="18"/>
      <c r="E46" s="18"/>
    </row>
    <row r="47" spans="1:5" ht="23.25" x14ac:dyDescent="0.35">
      <c r="A47" s="10" t="s">
        <v>55</v>
      </c>
      <c r="B47" s="17">
        <f t="shared" si="0"/>
        <v>100</v>
      </c>
      <c r="C47" s="18"/>
      <c r="D47" s="18"/>
      <c r="E47" s="18"/>
    </row>
    <row r="48" spans="1:5" x14ac:dyDescent="0.2">
      <c r="A48" s="9" t="s">
        <v>56</v>
      </c>
      <c r="B48" s="17">
        <f t="shared" si="0"/>
        <v>100</v>
      </c>
    </row>
    <row r="49" spans="1:2" x14ac:dyDescent="0.2">
      <c r="A49" s="10" t="s">
        <v>57</v>
      </c>
      <c r="B49" s="17">
        <f t="shared" si="0"/>
        <v>100</v>
      </c>
    </row>
  </sheetData>
  <mergeCells count="1">
    <mergeCell ref="A1:A2"/>
  </mergeCells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selection activeCell="B4" sqref="B4"/>
    </sheetView>
  </sheetViews>
  <sheetFormatPr defaultColWidth="9" defaultRowHeight="14.25" x14ac:dyDescent="0.2"/>
  <sheetData>
    <row r="1" spans="1:13" x14ac:dyDescent="0.2">
      <c r="A1" s="28"/>
      <c r="B1" s="24"/>
      <c r="C1" s="24"/>
      <c r="D1" s="24"/>
      <c r="E1" s="24"/>
    </row>
    <row r="2" spans="1:13" x14ac:dyDescent="0.2">
      <c r="A2">
        <v>4.01</v>
      </c>
      <c r="B2">
        <v>4.08</v>
      </c>
    </row>
    <row r="3" spans="1:13" s="1" customFormat="1" x14ac:dyDescent="0.2">
      <c r="A3" s="9" t="s">
        <v>31</v>
      </c>
      <c r="B3" s="10" t="s">
        <v>11</v>
      </c>
      <c r="C3" s="3"/>
      <c r="D3" s="3"/>
      <c r="E3" s="3"/>
      <c r="F3" s="2"/>
      <c r="G3" s="4"/>
      <c r="H3" s="5"/>
      <c r="I3" s="10"/>
      <c r="J3" s="10"/>
      <c r="K3" s="4"/>
      <c r="L3" s="9"/>
      <c r="M3" s="9"/>
    </row>
    <row r="4" spans="1:13" x14ac:dyDescent="0.2">
      <c r="A4" s="9" t="s">
        <v>36</v>
      </c>
      <c r="B4" s="9" t="s">
        <v>16</v>
      </c>
      <c r="C4" s="3"/>
      <c r="D4" s="6"/>
      <c r="E4" s="3"/>
      <c r="F4" s="4"/>
      <c r="G4" s="7"/>
      <c r="H4" s="7"/>
      <c r="I4" s="4"/>
      <c r="J4" s="4"/>
      <c r="K4" s="4"/>
      <c r="L4" s="10"/>
      <c r="M4" s="10"/>
    </row>
    <row r="5" spans="1:13" x14ac:dyDescent="0.2">
      <c r="A5" s="10" t="s">
        <v>37</v>
      </c>
      <c r="B5" s="8"/>
      <c r="C5" s="2"/>
      <c r="D5" s="9"/>
      <c r="E5" s="3"/>
      <c r="F5" s="2"/>
      <c r="G5" s="3"/>
      <c r="H5" s="5"/>
      <c r="I5" s="9"/>
      <c r="J5" s="10"/>
      <c r="K5" s="7"/>
      <c r="L5" s="9"/>
      <c r="M5" s="9"/>
    </row>
    <row r="6" spans="1:13" x14ac:dyDescent="0.2">
      <c r="A6" s="5"/>
      <c r="B6" s="3"/>
      <c r="C6" s="4"/>
      <c r="D6" s="10"/>
      <c r="E6" s="4"/>
      <c r="F6" s="3"/>
      <c r="G6" s="2"/>
      <c r="H6" s="8"/>
      <c r="I6" s="10"/>
      <c r="J6" s="4"/>
      <c r="K6" s="4"/>
      <c r="L6" s="10"/>
      <c r="M6" s="10"/>
    </row>
    <row r="7" spans="1:13" x14ac:dyDescent="0.2">
      <c r="A7" s="8"/>
      <c r="C7" s="2"/>
      <c r="D7" s="9"/>
      <c r="E7" s="9"/>
      <c r="F7" s="2"/>
      <c r="G7" s="3"/>
      <c r="H7" s="5"/>
      <c r="I7" s="9"/>
      <c r="J7" s="10"/>
      <c r="K7" s="7"/>
      <c r="M7" s="10"/>
    </row>
    <row r="8" spans="1:13" x14ac:dyDescent="0.2">
      <c r="A8" s="3"/>
      <c r="B8" s="3"/>
      <c r="D8" s="2"/>
      <c r="E8" s="7"/>
      <c r="G8" s="2"/>
      <c r="H8" s="10"/>
      <c r="J8" s="11"/>
      <c r="K8" s="4"/>
    </row>
    <row r="9" spans="1:13" x14ac:dyDescent="0.2">
      <c r="A9" s="8"/>
      <c r="D9" s="3"/>
      <c r="E9" s="3"/>
      <c r="H9" s="11"/>
      <c r="J9" s="10"/>
      <c r="K9" s="4"/>
    </row>
    <row r="10" spans="1:13" x14ac:dyDescent="0.2">
      <c r="A10" s="3"/>
      <c r="D10" s="7"/>
      <c r="E10" s="2"/>
      <c r="H10" s="12"/>
      <c r="K10" s="4"/>
    </row>
    <row r="11" spans="1:13" x14ac:dyDescent="0.2">
      <c r="A11" s="12"/>
      <c r="D11" s="4"/>
      <c r="H11" s="9"/>
      <c r="K11" s="7"/>
    </row>
    <row r="12" spans="1:13" x14ac:dyDescent="0.2">
      <c r="A12" s="3"/>
      <c r="D12" s="13"/>
      <c r="K12" s="4"/>
    </row>
    <row r="13" spans="1:13" x14ac:dyDescent="0.2">
      <c r="A13" s="8"/>
      <c r="D13" s="3"/>
      <c r="K13" s="10"/>
    </row>
    <row r="14" spans="1:13" x14ac:dyDescent="0.2">
      <c r="D14" s="2"/>
      <c r="K14" s="4"/>
    </row>
    <row r="15" spans="1:13" x14ac:dyDescent="0.2">
      <c r="D15" s="4"/>
      <c r="K15" s="7"/>
    </row>
    <row r="16" spans="1:13" x14ac:dyDescent="0.2">
      <c r="D16" s="7"/>
      <c r="K16" s="4"/>
    </row>
    <row r="17" spans="4:11" x14ac:dyDescent="0.2">
      <c r="D17" s="3"/>
      <c r="K17" s="7"/>
    </row>
    <row r="18" spans="4:11" x14ac:dyDescent="0.2">
      <c r="D18" s="2"/>
      <c r="K18" s="4"/>
    </row>
    <row r="19" spans="4:11" x14ac:dyDescent="0.2">
      <c r="K19" s="7"/>
    </row>
    <row r="20" spans="4:11" x14ac:dyDescent="0.2">
      <c r="K20" s="4"/>
    </row>
    <row r="21" spans="4:11" x14ac:dyDescent="0.2">
      <c r="K21" s="7"/>
    </row>
    <row r="22" spans="4:11" x14ac:dyDescent="0.2">
      <c r="K22" s="4"/>
    </row>
    <row r="23" spans="4:11" x14ac:dyDescent="0.2">
      <c r="K23" s="7"/>
    </row>
    <row r="24" spans="4:11" x14ac:dyDescent="0.2">
      <c r="K24" s="9"/>
    </row>
    <row r="25" spans="4:11" x14ac:dyDescent="0.2">
      <c r="K25" s="7"/>
    </row>
    <row r="26" spans="4:11" x14ac:dyDescent="0.2">
      <c r="K26" s="4"/>
    </row>
    <row r="27" spans="4:11" x14ac:dyDescent="0.2">
      <c r="K27" s="7"/>
    </row>
    <row r="28" spans="4:11" x14ac:dyDescent="0.2">
      <c r="K28" s="4"/>
    </row>
    <row r="29" spans="4:11" x14ac:dyDescent="0.2">
      <c r="K29" s="6"/>
    </row>
    <row r="30" spans="4:11" x14ac:dyDescent="0.2">
      <c r="K30" s="7"/>
    </row>
    <row r="31" spans="4:11" x14ac:dyDescent="0.2">
      <c r="K31" s="9"/>
    </row>
  </sheetData>
  <mergeCells count="1">
    <mergeCell ref="A1:E1"/>
  </mergeCells>
  <phoneticPr fontId="1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考勤</vt:lpstr>
      <vt:lpstr>上机</vt:lpstr>
      <vt:lpstr>实验报告</vt:lpstr>
      <vt:lpstr>打扫卫生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2026-04-08T01:16:23Z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A6CF684F5C0D4175B8EA4F1C2B122092_13</vt:lpwstr>
  </property>
  <property fmtid="{D5CDD505-2E9C-101B-9397-08002B2CF9AE}" pid="3" name="KSOProductBuildVer">
    <vt:lpwstr>2052-12.1.0.15712</vt:lpwstr>
  </property>
</Properties>
</file>