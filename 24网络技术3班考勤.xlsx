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/>
  </bookViews>
  <sheets>
    <sheet name="考勤" sheetId="3" r:id="rId1"/>
    <sheet name="上机" sheetId="6" r:id="rId2"/>
    <sheet name="实验报告" sheetId="5" r:id="rId3"/>
    <sheet name="打扫卫生" sheetId="4" r:id="rId4"/>
  </sheets>
  <calcPr calcId="144525"/>
</workbook>
</file>

<file path=xl/sharedStrings.xml><?xml version="1.0" encoding="utf-8"?>
<sst xmlns="http://schemas.openxmlformats.org/spreadsheetml/2006/main" count="328" uniqueCount="58">
  <si>
    <t>学号</t>
  </si>
  <si>
    <t>姓名</t>
  </si>
  <si>
    <t>成绩</t>
  </si>
  <si>
    <t>3.07-理论</t>
  </si>
  <si>
    <t>3.09-理论</t>
  </si>
  <si>
    <t>3.11-理论</t>
  </si>
  <si>
    <t>3.16理论</t>
  </si>
  <si>
    <t>3.18理论</t>
  </si>
  <si>
    <t>李奥</t>
  </si>
  <si>
    <t>√</t>
  </si>
  <si>
    <t>官长皓</t>
  </si>
  <si>
    <t>×</t>
  </si>
  <si>
    <t>刘柯纬</t>
  </si>
  <si>
    <t>张智献</t>
  </si>
  <si>
    <t>肖笛</t>
  </si>
  <si>
    <t>宁佳怡</t>
  </si>
  <si>
    <t>宋端祥</t>
  </si>
  <si>
    <t>孙赫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</si>
  <si>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</si>
  <si>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</si>
  <si>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</si>
  <si>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</si>
  <si>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</si>
  <si>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</si>
  <si>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</si>
  <si>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</si>
  <si>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</si>
  <si>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</si>
  <si>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</si>
  <si>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</si>
  <si>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</si>
  <si>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</si>
  <si>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</si>
  <si>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</si>
  <si>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</si>
  <si>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</si>
  <si>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</si>
  <si>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</si>
  <si>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</si>
  <si>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</si>
  <si>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</si>
  <si>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</si>
  <si>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</si>
  <si>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</si>
  <si>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</si>
  <si>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</si>
  <si>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</si>
  <si>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</si>
  <si>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</si>
  <si>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</si>
  <si>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</si>
  <si>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</si>
  <si>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</si>
  <si>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</si>
  <si>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</si>
  <si>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</si>
  <si>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高顼研</t>
  </si>
  <si>
    <t>夹梦娅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</si>
</sst>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charset val="134"/>
    </font>
    <font>
      <sz val="9"/>
      <color rgb="FFFF0000"/>
      <name val="Arial"/>
      <charset val="134"/>
    </font>
    <font>
      <sz val="9"/>
      <color rgb="FF00B050"/>
      <name val="Arial"/>
      <charset val="134"/>
    </font>
    <font>
      <sz val="9"/>
      <color theme="1"/>
      <name val="Arial"/>
      <charset val="134"/>
    </font>
    <font>
      <sz val="9"/>
      <color rgb="FF333333"/>
      <name val="Arial"/>
      <charset val="134"/>
    </font>
    <font>
      <sz val="9"/>
      <color theme="6" tint="0.399670400097659"/>
      <name val="Arial"/>
      <charset val="134"/>
    </font>
    <font>
      <sz val="9"/>
      <color rgb="FF333333"/>
      <name val="宋体"/>
      <charset val="134"/>
    </font>
    <font>
      <sz val="18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14" fontId="0" fillId="0" borderId="0" xfId="0" applyNumberFormat="1"/>
    <xf numFmtId="0" fontId="6" fillId="2" borderId="0" xfId="0" applyFont="1" applyFill="1" applyBorder="1" applyAlignment="1">
      <alignment horizontal="left" vertical="top"/>
    </xf>
    <xf numFmtId="0" fontId="9" fillId="0" borderId="0" xfId="0" applyFont="1"/>
    <xf numFmtId="0" fontId="0" fillId="0" borderId="4" xfId="0" applyBorder="1" applyAlignment="1">
      <alignment horizontal="center" vertical="center"/>
    </xf>
    <xf numFmtId="0" fontId="10" fillId="0" borderId="0" xfId="0" applyFont="1"/>
    <xf numFmtId="0" fontId="11" fillId="0" borderId="0" xfId="0" applyFont="1" applyAlignment="1"/>
    <xf numFmtId="49" fontId="0" fillId="0" borderId="0" xfId="0" applyNumberFormat="1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0"/>
  <sheetViews>
    <sheetView tabSelected="1" zoomScale="265" zoomScaleNormal="265" topLeftCell="A42" workbookViewId="0">
      <selection activeCell="H12" sqref="H12"/>
    </sheetView>
  </sheetViews>
  <sheetFormatPr defaultColWidth="9" defaultRowHeight="14.25"/>
  <cols>
    <col min="1" max="1" width="10.25" customWidth="1"/>
  </cols>
  <sheetData>
    <row r="1" spans="1:3">
      <c r="A1" s="16" t="s">
        <v>0</v>
      </c>
      <c r="B1" s="16" t="s">
        <v>1</v>
      </c>
      <c r="C1" s="23" t="s">
        <v>2</v>
      </c>
    </row>
    <row r="2" ht="15" spans="1:34">
      <c r="A2" s="18"/>
      <c r="B2" s="18"/>
      <c r="C2" s="23"/>
      <c r="D2" t="s">
        <v>3</v>
      </c>
      <c r="E2" t="s">
        <v>4</v>
      </c>
      <c r="F2" t="s">
        <v>5</v>
      </c>
      <c r="G2" t="s">
        <v>6</v>
      </c>
      <c r="H2" t="s">
        <v>7</v>
      </c>
      <c r="O2" s="26"/>
      <c r="AF2" s="27"/>
      <c r="AH2" s="27"/>
    </row>
    <row r="3" ht="15.75" spans="1:8">
      <c r="A3" s="12">
        <v>2452020005</v>
      </c>
      <c r="B3" s="12" t="s">
        <v>8</v>
      </c>
      <c r="C3">
        <f>100-COUNTIF(D3:AZ3,"×")*3</f>
        <v>100</v>
      </c>
      <c r="D3" t="s">
        <v>9</v>
      </c>
      <c r="E3" t="s">
        <v>9</v>
      </c>
      <c r="F3" t="s">
        <v>9</v>
      </c>
      <c r="G3" t="s">
        <v>9</v>
      </c>
      <c r="H3" t="s">
        <v>9</v>
      </c>
    </row>
    <row r="4" ht="15" spans="1:8">
      <c r="A4" s="11">
        <v>2452020012</v>
      </c>
      <c r="B4" s="11" t="s">
        <v>10</v>
      </c>
      <c r="C4">
        <f>100-COUNTIF(D4:AZ4,"×")*3</f>
        <v>97</v>
      </c>
      <c r="D4" t="s">
        <v>9</v>
      </c>
      <c r="E4" t="s">
        <v>9</v>
      </c>
      <c r="F4" t="s">
        <v>9</v>
      </c>
      <c r="G4" t="s">
        <v>9</v>
      </c>
      <c r="H4" t="s">
        <v>11</v>
      </c>
    </row>
    <row r="5" ht="15" spans="1:8">
      <c r="A5" s="12">
        <v>2452020033</v>
      </c>
      <c r="B5" s="12" t="s">
        <v>12</v>
      </c>
      <c r="C5">
        <f>100-COUNTIF(D5:AZ5,"×")*3</f>
        <v>91</v>
      </c>
      <c r="D5" t="s">
        <v>9</v>
      </c>
      <c r="E5" t="s">
        <v>9</v>
      </c>
      <c r="F5" t="s">
        <v>11</v>
      </c>
      <c r="G5" t="s">
        <v>11</v>
      </c>
      <c r="H5" t="s">
        <v>11</v>
      </c>
    </row>
    <row r="6" ht="15" spans="1:25">
      <c r="A6" s="11">
        <v>2452020048</v>
      </c>
      <c r="B6" s="11" t="s">
        <v>13</v>
      </c>
      <c r="C6">
        <f>100-COUNTIF(D6:AZ6,"×")*3</f>
        <v>97</v>
      </c>
      <c r="D6" t="s">
        <v>9</v>
      </c>
      <c r="E6" t="s">
        <v>9</v>
      </c>
      <c r="F6" t="s">
        <v>11</v>
      </c>
      <c r="G6" t="s">
        <v>9</v>
      </c>
      <c r="H6" t="s">
        <v>9</v>
      </c>
      <c r="Y6" s="27"/>
    </row>
    <row r="7" ht="15" spans="1:8">
      <c r="A7" s="12">
        <v>2452020059</v>
      </c>
      <c r="B7" s="12" t="s">
        <v>14</v>
      </c>
      <c r="C7">
        <f>110-COUNTIF(D7:AZ7,"×")*3</f>
        <v>95</v>
      </c>
      <c r="D7" t="s">
        <v>11</v>
      </c>
      <c r="E7" t="s">
        <v>11</v>
      </c>
      <c r="F7" t="s">
        <v>11</v>
      </c>
      <c r="G7" t="s">
        <v>11</v>
      </c>
      <c r="H7" t="s">
        <v>11</v>
      </c>
    </row>
    <row r="8" ht="15" spans="1:8">
      <c r="A8" s="11">
        <v>2452020062</v>
      </c>
      <c r="B8" s="11" t="s">
        <v>15</v>
      </c>
      <c r="C8">
        <f>100-COUNTIF(D8:AZ8,"×")*3</f>
        <v>100</v>
      </c>
      <c r="D8" t="s">
        <v>9</v>
      </c>
      <c r="E8" t="s">
        <v>9</v>
      </c>
      <c r="F8" t="s">
        <v>9</v>
      </c>
      <c r="G8" t="s">
        <v>9</v>
      </c>
      <c r="H8" t="s">
        <v>9</v>
      </c>
    </row>
    <row r="9" ht="15" spans="1:8">
      <c r="A9" s="12">
        <v>2452020068</v>
      </c>
      <c r="B9" s="12" t="s">
        <v>16</v>
      </c>
      <c r="C9">
        <f>100-COUNTIF(D9:AZ9,"×")*3</f>
        <v>100</v>
      </c>
      <c r="D9" t="s">
        <v>9</v>
      </c>
      <c r="E9" t="s">
        <v>9</v>
      </c>
      <c r="F9" t="s">
        <v>9</v>
      </c>
      <c r="G9" t="s">
        <v>9</v>
      </c>
      <c r="H9" t="s">
        <v>9</v>
      </c>
    </row>
    <row r="10" ht="15" spans="1:8">
      <c r="A10" s="11">
        <v>2452020071</v>
      </c>
      <c r="B10" s="11" t="s">
        <v>17</v>
      </c>
      <c r="C10">
        <f>100-COUNTIF(D10:AZ10,"×")*3</f>
        <v>97</v>
      </c>
      <c r="D10" t="s">
        <v>9</v>
      </c>
      <c r="E10" t="s">
        <v>9</v>
      </c>
      <c r="F10" t="s">
        <v>9</v>
      </c>
      <c r="G10" t="s">
        <v>9</v>
      </c>
      <c r="H10" t="s">
        <v>11</v>
      </c>
    </row>
    <row r="11" ht="15" spans="1:8">
      <c r="A11" s="11">
        <v>2452020091</v>
      </c>
      <c r="B11" s="11" t="s">
        <v>18</v>
      </c>
      <c r="C11">
        <f t="shared" ref="C11:C25" si="0">100-COUNTIF(D11:AZ11,"×")*3</f>
        <v>100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</row>
    <row r="12" ht="15" spans="1:8">
      <c r="A12" s="12">
        <v>2452020094</v>
      </c>
      <c r="B12" s="12" t="s">
        <v>19</v>
      </c>
      <c r="C12">
        <f t="shared" si="0"/>
        <v>94</v>
      </c>
      <c r="D12" t="s">
        <v>11</v>
      </c>
      <c r="E12" t="s">
        <v>11</v>
      </c>
      <c r="F12" t="s">
        <v>9</v>
      </c>
      <c r="G12" t="s">
        <v>9</v>
      </c>
      <c r="H12" t="s">
        <v>9</v>
      </c>
    </row>
    <row r="13" ht="15" spans="1:8">
      <c r="A13" s="11">
        <v>2452020098</v>
      </c>
      <c r="B13" s="11" t="s">
        <v>20</v>
      </c>
      <c r="C13">
        <f t="shared" si="0"/>
        <v>100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</row>
    <row r="14" ht="15" spans="1:8">
      <c r="A14" s="12">
        <v>2452020105</v>
      </c>
      <c r="B14" s="12" t="s">
        <v>21</v>
      </c>
      <c r="C14">
        <f t="shared" si="0"/>
        <v>100</v>
      </c>
      <c r="D14" t="s">
        <v>9</v>
      </c>
      <c r="E14" t="s">
        <v>9</v>
      </c>
      <c r="F14" t="s">
        <v>9</v>
      </c>
      <c r="G14" t="s">
        <v>9</v>
      </c>
      <c r="H14" t="s">
        <v>9</v>
      </c>
    </row>
    <row r="15" ht="15" spans="1:8">
      <c r="A15" s="11">
        <v>2452020117</v>
      </c>
      <c r="B15" s="11" t="s">
        <v>22</v>
      </c>
      <c r="C15">
        <f t="shared" si="0"/>
        <v>85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</row>
    <row r="16" ht="15" spans="1:8">
      <c r="A16" s="12">
        <v>2452020132</v>
      </c>
      <c r="B16" s="12" t="s">
        <v>23</v>
      </c>
      <c r="C16">
        <f t="shared" si="0"/>
        <v>100</v>
      </c>
      <c r="D16" t="s">
        <v>9</v>
      </c>
      <c r="E16" t="s">
        <v>9</v>
      </c>
      <c r="F16" t="s">
        <v>9</v>
      </c>
      <c r="G16" t="s">
        <v>9</v>
      </c>
      <c r="H16" t="s">
        <v>9</v>
      </c>
    </row>
    <row r="17" ht="15" spans="1:8">
      <c r="A17" s="11">
        <v>2452020133</v>
      </c>
      <c r="B17" s="11" t="s">
        <v>24</v>
      </c>
      <c r="C17">
        <f t="shared" si="0"/>
        <v>97</v>
      </c>
      <c r="D17" t="s">
        <v>9</v>
      </c>
      <c r="E17" t="s">
        <v>9</v>
      </c>
      <c r="F17" t="s">
        <v>9</v>
      </c>
      <c r="G17" t="s">
        <v>9</v>
      </c>
      <c r="H17" t="s">
        <v>11</v>
      </c>
    </row>
    <row r="18" ht="15" spans="1:8">
      <c r="A18" s="12">
        <v>2452020143</v>
      </c>
      <c r="B18" s="12" t="s">
        <v>25</v>
      </c>
      <c r="C18">
        <f t="shared" si="0"/>
        <v>100</v>
      </c>
      <c r="D18" t="s">
        <v>9</v>
      </c>
      <c r="E18" t="s">
        <v>9</v>
      </c>
      <c r="F18" t="s">
        <v>9</v>
      </c>
      <c r="G18" t="s">
        <v>9</v>
      </c>
      <c r="H18" t="s">
        <v>9</v>
      </c>
    </row>
    <row r="19" ht="15" spans="1:8">
      <c r="A19" s="11">
        <v>2452020164</v>
      </c>
      <c r="B19" s="11" t="s">
        <v>26</v>
      </c>
      <c r="C19">
        <f t="shared" si="0"/>
        <v>100</v>
      </c>
      <c r="D19" t="s">
        <v>9</v>
      </c>
      <c r="E19" t="s">
        <v>9</v>
      </c>
      <c r="F19" t="s">
        <v>9</v>
      </c>
      <c r="G19" t="s">
        <v>9</v>
      </c>
      <c r="H19" t="s">
        <v>9</v>
      </c>
    </row>
    <row r="20" ht="15" spans="1:8">
      <c r="A20" s="12">
        <v>2452020176</v>
      </c>
      <c r="B20" s="12" t="s">
        <v>27</v>
      </c>
      <c r="C20">
        <f t="shared" si="0"/>
        <v>100</v>
      </c>
      <c r="D20" t="s">
        <v>9</v>
      </c>
      <c r="E20" t="s">
        <v>9</v>
      </c>
      <c r="F20" t="s">
        <v>9</v>
      </c>
      <c r="G20" t="s">
        <v>9</v>
      </c>
      <c r="H20" t="s">
        <v>9</v>
      </c>
    </row>
    <row r="21" ht="15" spans="1:8">
      <c r="A21" s="11">
        <v>2452020203</v>
      </c>
      <c r="B21" s="11" t="s">
        <v>28</v>
      </c>
      <c r="C21">
        <f t="shared" si="0"/>
        <v>100</v>
      </c>
      <c r="D21" t="s">
        <v>9</v>
      </c>
      <c r="E21" t="s">
        <v>9</v>
      </c>
      <c r="F21" t="s">
        <v>9</v>
      </c>
      <c r="G21" t="s">
        <v>9</v>
      </c>
      <c r="H21" t="s">
        <v>9</v>
      </c>
    </row>
    <row r="22" ht="15" spans="1:8">
      <c r="A22" s="12">
        <v>2452020205</v>
      </c>
      <c r="B22" s="12" t="s">
        <v>29</v>
      </c>
      <c r="C22">
        <f t="shared" si="0"/>
        <v>100</v>
      </c>
      <c r="D22" t="s">
        <v>9</v>
      </c>
      <c r="E22" t="s">
        <v>9</v>
      </c>
      <c r="F22" t="s">
        <v>9</v>
      </c>
      <c r="G22" t="s">
        <v>9</v>
      </c>
      <c r="H22" t="s">
        <v>9</v>
      </c>
    </row>
    <row r="23" ht="15" spans="1:8">
      <c r="A23" s="11">
        <v>2452020236</v>
      </c>
      <c r="B23" s="11" t="s">
        <v>30</v>
      </c>
      <c r="C23">
        <f t="shared" si="0"/>
        <v>97</v>
      </c>
      <c r="D23" t="s">
        <v>11</v>
      </c>
      <c r="E23" t="s">
        <v>9</v>
      </c>
      <c r="F23" t="s">
        <v>9</v>
      </c>
      <c r="G23" t="s">
        <v>9</v>
      </c>
      <c r="H23" t="s">
        <v>9</v>
      </c>
    </row>
    <row r="24" ht="15" spans="1:8">
      <c r="A24" s="12">
        <v>2452020243</v>
      </c>
      <c r="B24" s="12" t="s">
        <v>31</v>
      </c>
      <c r="C24">
        <f t="shared" si="0"/>
        <v>85</v>
      </c>
      <c r="D24" t="s">
        <v>11</v>
      </c>
      <c r="E24" t="s">
        <v>11</v>
      </c>
      <c r="F24" t="s">
        <v>11</v>
      </c>
      <c r="G24" t="s">
        <v>11</v>
      </c>
      <c r="H24" t="s">
        <v>11</v>
      </c>
    </row>
    <row r="25" ht="15" spans="1:8">
      <c r="A25" s="11">
        <v>2452020253</v>
      </c>
      <c r="B25" s="11" t="s">
        <v>32</v>
      </c>
      <c r="C25">
        <f t="shared" si="0"/>
        <v>91</v>
      </c>
      <c r="D25" t="s">
        <v>11</v>
      </c>
      <c r="E25" t="s">
        <v>11</v>
      </c>
      <c r="F25" t="s">
        <v>9</v>
      </c>
      <c r="G25" t="s">
        <v>9</v>
      </c>
      <c r="H25" t="s">
        <v>11</v>
      </c>
    </row>
    <row r="26" ht="15" spans="1:8">
      <c r="A26" s="11">
        <v>2452020278</v>
      </c>
      <c r="B26" s="11" t="s">
        <v>33</v>
      </c>
      <c r="C26">
        <f t="shared" ref="C26:C47" si="1">100-COUNTIF(D26:AZ26,"×")*3</f>
        <v>100</v>
      </c>
      <c r="D26" t="s">
        <v>9</v>
      </c>
      <c r="E26" t="s">
        <v>9</v>
      </c>
      <c r="F26" t="s">
        <v>9</v>
      </c>
      <c r="G26" t="s">
        <v>9</v>
      </c>
      <c r="H26" t="s">
        <v>9</v>
      </c>
    </row>
    <row r="27" ht="15" spans="1:8">
      <c r="A27" s="12">
        <v>2452020293</v>
      </c>
      <c r="B27" s="12" t="s">
        <v>34</v>
      </c>
      <c r="C27">
        <f t="shared" si="1"/>
        <v>100</v>
      </c>
      <c r="D27" t="s">
        <v>9</v>
      </c>
      <c r="E27" t="s">
        <v>9</v>
      </c>
      <c r="F27" t="s">
        <v>9</v>
      </c>
      <c r="G27" t="s">
        <v>9</v>
      </c>
      <c r="H27" t="s">
        <v>9</v>
      </c>
    </row>
    <row r="28" ht="15" spans="1:8">
      <c r="A28" s="11">
        <v>2452020297</v>
      </c>
      <c r="B28" s="11" t="s">
        <v>35</v>
      </c>
      <c r="C28">
        <f t="shared" si="1"/>
        <v>97</v>
      </c>
      <c r="D28" t="s">
        <v>9</v>
      </c>
      <c r="E28" t="s">
        <v>9</v>
      </c>
      <c r="F28" t="s">
        <v>9</v>
      </c>
      <c r="G28" t="s">
        <v>11</v>
      </c>
      <c r="H28" t="s">
        <v>9</v>
      </c>
    </row>
    <row r="29" ht="15" spans="1:8">
      <c r="A29" s="12">
        <v>2452020298</v>
      </c>
      <c r="B29" s="12" t="s">
        <v>36</v>
      </c>
      <c r="C29">
        <f t="shared" si="1"/>
        <v>85</v>
      </c>
      <c r="D29" t="s">
        <v>11</v>
      </c>
      <c r="E29" t="s">
        <v>11</v>
      </c>
      <c r="F29" t="s">
        <v>11</v>
      </c>
      <c r="G29" t="s">
        <v>11</v>
      </c>
      <c r="H29" t="s">
        <v>11</v>
      </c>
    </row>
    <row r="30" ht="15" spans="1:8">
      <c r="A30" s="11">
        <v>2452020306</v>
      </c>
      <c r="B30" s="11" t="s">
        <v>37</v>
      </c>
      <c r="C30">
        <f t="shared" si="1"/>
        <v>100</v>
      </c>
      <c r="D30" t="s">
        <v>9</v>
      </c>
      <c r="E30" t="s">
        <v>9</v>
      </c>
      <c r="F30" t="s">
        <v>9</v>
      </c>
      <c r="G30" t="s">
        <v>9</v>
      </c>
      <c r="H30" t="s">
        <v>9</v>
      </c>
    </row>
    <row r="31" ht="15" spans="1:8">
      <c r="A31" s="12">
        <v>2452020309</v>
      </c>
      <c r="B31" s="12" t="s">
        <v>38</v>
      </c>
      <c r="C31">
        <f>110-COUNTIF(D31:AZ31,"×")*3</f>
        <v>110</v>
      </c>
      <c r="D31" t="s">
        <v>9</v>
      </c>
      <c r="E31" t="s">
        <v>9</v>
      </c>
      <c r="F31" t="s">
        <v>9</v>
      </c>
      <c r="G31" t="s">
        <v>9</v>
      </c>
      <c r="H31" t="s">
        <v>9</v>
      </c>
    </row>
    <row r="32" ht="15" spans="1:8">
      <c r="A32" s="11">
        <v>2452020323</v>
      </c>
      <c r="B32" s="11" t="s">
        <v>39</v>
      </c>
      <c r="C32">
        <f t="shared" si="1"/>
        <v>100</v>
      </c>
      <c r="D32" t="s">
        <v>9</v>
      </c>
      <c r="E32" s="24" t="s">
        <v>9</v>
      </c>
      <c r="F32" t="s">
        <v>9</v>
      </c>
      <c r="G32" t="s">
        <v>9</v>
      </c>
      <c r="H32" t="s">
        <v>9</v>
      </c>
    </row>
    <row r="33" ht="15" spans="1:8">
      <c r="A33" s="12">
        <v>2452020347</v>
      </c>
      <c r="B33" s="12" t="s">
        <v>40</v>
      </c>
      <c r="C33">
        <f t="shared" si="1"/>
        <v>97</v>
      </c>
      <c r="D33" t="s">
        <v>9</v>
      </c>
      <c r="E33" t="s">
        <v>9</v>
      </c>
      <c r="F33" t="s">
        <v>9</v>
      </c>
      <c r="G33" t="s">
        <v>9</v>
      </c>
      <c r="H33" t="s">
        <v>11</v>
      </c>
    </row>
    <row r="34" ht="15" spans="1:8">
      <c r="A34" s="11">
        <v>2452020357</v>
      </c>
      <c r="B34" s="11" t="s">
        <v>41</v>
      </c>
      <c r="C34">
        <f t="shared" si="1"/>
        <v>97</v>
      </c>
      <c r="D34" t="s">
        <v>11</v>
      </c>
      <c r="E34" t="s">
        <v>9</v>
      </c>
      <c r="F34" t="s">
        <v>9</v>
      </c>
      <c r="G34" t="s">
        <v>9</v>
      </c>
      <c r="H34" t="s">
        <v>9</v>
      </c>
    </row>
    <row r="35" ht="15" spans="1:8">
      <c r="A35" s="12">
        <v>2452020371</v>
      </c>
      <c r="B35" s="12" t="s">
        <v>42</v>
      </c>
      <c r="C35">
        <f t="shared" si="1"/>
        <v>100</v>
      </c>
      <c r="D35" t="s">
        <v>9</v>
      </c>
      <c r="E35" t="s">
        <v>9</v>
      </c>
      <c r="F35" t="s">
        <v>9</v>
      </c>
      <c r="G35" t="s">
        <v>9</v>
      </c>
      <c r="H35" t="s">
        <v>9</v>
      </c>
    </row>
    <row r="36" ht="15" spans="1:8">
      <c r="A36" s="11">
        <v>2452020381</v>
      </c>
      <c r="B36" s="11" t="s">
        <v>43</v>
      </c>
      <c r="C36">
        <f t="shared" si="1"/>
        <v>91</v>
      </c>
      <c r="D36" t="s">
        <v>11</v>
      </c>
      <c r="E36" t="s">
        <v>9</v>
      </c>
      <c r="F36" t="s">
        <v>11</v>
      </c>
      <c r="G36" t="s">
        <v>9</v>
      </c>
      <c r="H36" t="s">
        <v>11</v>
      </c>
    </row>
    <row r="37" spans="1:8">
      <c r="A37" s="12">
        <v>2452020390</v>
      </c>
      <c r="B37" s="12" t="s">
        <v>44</v>
      </c>
      <c r="C37">
        <f t="shared" si="1"/>
        <v>91</v>
      </c>
      <c r="D37" t="s">
        <v>9</v>
      </c>
      <c r="E37" t="s">
        <v>9</v>
      </c>
      <c r="F37" t="s">
        <v>11</v>
      </c>
      <c r="G37" t="s">
        <v>11</v>
      </c>
      <c r="H37" t="s">
        <v>11</v>
      </c>
    </row>
    <row r="38" ht="15" spans="1:8">
      <c r="A38" s="11">
        <v>2452020397</v>
      </c>
      <c r="B38" s="11" t="s">
        <v>45</v>
      </c>
      <c r="C38">
        <f t="shared" si="1"/>
        <v>97</v>
      </c>
      <c r="D38" t="s">
        <v>9</v>
      </c>
      <c r="E38" t="s">
        <v>9</v>
      </c>
      <c r="F38" t="s">
        <v>9</v>
      </c>
      <c r="G38" t="s">
        <v>9</v>
      </c>
      <c r="H38" t="s">
        <v>11</v>
      </c>
    </row>
    <row r="39" ht="15" spans="1:8">
      <c r="A39" s="12">
        <v>2452020410</v>
      </c>
      <c r="B39" s="12" t="s">
        <v>46</v>
      </c>
      <c r="C39">
        <f t="shared" si="1"/>
        <v>97</v>
      </c>
      <c r="D39" t="s">
        <v>11</v>
      </c>
      <c r="E39" t="s">
        <v>9</v>
      </c>
      <c r="F39" t="s">
        <v>9</v>
      </c>
      <c r="G39" t="s">
        <v>9</v>
      </c>
      <c r="H39" t="s">
        <v>9</v>
      </c>
    </row>
    <row r="40" ht="15" spans="1:8">
      <c r="A40" s="11">
        <v>2452020421</v>
      </c>
      <c r="B40" s="11" t="s">
        <v>47</v>
      </c>
      <c r="C40">
        <f t="shared" si="1"/>
        <v>97</v>
      </c>
      <c r="D40" t="s">
        <v>11</v>
      </c>
      <c r="E40" t="s">
        <v>9</v>
      </c>
      <c r="F40" t="s">
        <v>9</v>
      </c>
      <c r="G40" t="s">
        <v>9</v>
      </c>
      <c r="H40" t="s">
        <v>9</v>
      </c>
    </row>
    <row r="41" ht="15" spans="1:8">
      <c r="A41" s="12">
        <v>2452020424</v>
      </c>
      <c r="B41" s="12" t="s">
        <v>48</v>
      </c>
      <c r="C41">
        <f t="shared" si="1"/>
        <v>85</v>
      </c>
      <c r="D41" t="s">
        <v>11</v>
      </c>
      <c r="E41" t="s">
        <v>11</v>
      </c>
      <c r="F41" t="s">
        <v>11</v>
      </c>
      <c r="G41" t="s">
        <v>11</v>
      </c>
      <c r="H41" t="s">
        <v>11</v>
      </c>
    </row>
    <row r="42" spans="1:8">
      <c r="A42" s="11">
        <v>2452020454</v>
      </c>
      <c r="B42" s="11" t="s">
        <v>49</v>
      </c>
      <c r="C42">
        <f t="shared" si="1"/>
        <v>97</v>
      </c>
      <c r="D42" t="s">
        <v>9</v>
      </c>
      <c r="E42" t="s">
        <v>9</v>
      </c>
      <c r="F42" t="s">
        <v>9</v>
      </c>
      <c r="G42" t="s">
        <v>9</v>
      </c>
      <c r="H42" t="s">
        <v>11</v>
      </c>
    </row>
    <row r="43" spans="1:8">
      <c r="A43" s="12">
        <v>2452020478</v>
      </c>
      <c r="B43" s="12" t="s">
        <v>50</v>
      </c>
      <c r="C43">
        <f t="shared" si="1"/>
        <v>85</v>
      </c>
      <c r="D43" t="s">
        <v>11</v>
      </c>
      <c r="E43" t="s">
        <v>11</v>
      </c>
      <c r="F43" t="s">
        <v>11</v>
      </c>
      <c r="G43" t="s">
        <v>11</v>
      </c>
      <c r="H43" t="s">
        <v>11</v>
      </c>
    </row>
    <row r="44" spans="1:8">
      <c r="A44" s="11">
        <v>2452020484</v>
      </c>
      <c r="B44" s="11" t="s">
        <v>51</v>
      </c>
      <c r="C44">
        <f t="shared" si="1"/>
        <v>91</v>
      </c>
      <c r="D44" t="s">
        <v>9</v>
      </c>
      <c r="E44" t="s">
        <v>11</v>
      </c>
      <c r="F44" t="s">
        <v>11</v>
      </c>
      <c r="G44" t="s">
        <v>9</v>
      </c>
      <c r="H44" t="s">
        <v>11</v>
      </c>
    </row>
    <row r="45" ht="15" spans="1:8">
      <c r="A45" s="12">
        <v>2452020759</v>
      </c>
      <c r="B45" s="12" t="s">
        <v>52</v>
      </c>
      <c r="C45">
        <f t="shared" si="1"/>
        <v>85</v>
      </c>
      <c r="D45" t="s">
        <v>11</v>
      </c>
      <c r="E45" t="s">
        <v>11</v>
      </c>
      <c r="F45" t="s">
        <v>11</v>
      </c>
      <c r="G45" t="s">
        <v>11</v>
      </c>
      <c r="H45" t="s">
        <v>11</v>
      </c>
    </row>
    <row r="46" ht="15" spans="1:8">
      <c r="A46" s="11">
        <v>2452020821</v>
      </c>
      <c r="B46" s="11" t="s">
        <v>53</v>
      </c>
      <c r="C46">
        <f t="shared" si="1"/>
        <v>94</v>
      </c>
      <c r="D46" t="s">
        <v>11</v>
      </c>
      <c r="E46" t="s">
        <v>11</v>
      </c>
      <c r="F46" t="s">
        <v>9</v>
      </c>
      <c r="G46" t="s">
        <v>9</v>
      </c>
      <c r="H46" t="s">
        <v>9</v>
      </c>
    </row>
    <row r="47" ht="15" spans="1:8">
      <c r="A47" s="12">
        <v>2452020828</v>
      </c>
      <c r="B47" s="12" t="s">
        <v>54</v>
      </c>
      <c r="C47">
        <f t="shared" si="1"/>
        <v>97</v>
      </c>
      <c r="D47" t="s">
        <v>11</v>
      </c>
      <c r="E47" t="s">
        <v>9</v>
      </c>
      <c r="F47" t="s">
        <v>9</v>
      </c>
      <c r="G47" t="s">
        <v>9</v>
      </c>
      <c r="H47" t="s">
        <v>9</v>
      </c>
    </row>
    <row r="48" ht="78" customHeight="1" spans="4:64">
      <c r="D48">
        <f>COUNTIF(D3:D47,"×")</f>
        <v>16</v>
      </c>
      <c r="E48">
        <f t="shared" ref="E48:BL48" si="2">COUNTIF(E3:E47,"×")</f>
        <v>11</v>
      </c>
      <c r="F48">
        <f t="shared" si="2"/>
        <v>12</v>
      </c>
      <c r="G48">
        <f t="shared" si="2"/>
        <v>10</v>
      </c>
      <c r="H48">
        <f t="shared" si="2"/>
        <v>18</v>
      </c>
      <c r="I48">
        <f t="shared" si="2"/>
        <v>0</v>
      </c>
      <c r="J48">
        <f t="shared" si="2"/>
        <v>0</v>
      </c>
      <c r="K48">
        <f t="shared" si="2"/>
        <v>0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0</v>
      </c>
      <c r="P48">
        <f t="shared" si="2"/>
        <v>0</v>
      </c>
      <c r="Q48">
        <f t="shared" si="2"/>
        <v>0</v>
      </c>
      <c r="R48">
        <f t="shared" si="2"/>
        <v>0</v>
      </c>
      <c r="S48">
        <f t="shared" si="2"/>
        <v>0</v>
      </c>
      <c r="T48">
        <f t="shared" si="2"/>
        <v>0</v>
      </c>
      <c r="U48">
        <f t="shared" si="2"/>
        <v>0</v>
      </c>
      <c r="V48">
        <f t="shared" si="2"/>
        <v>0</v>
      </c>
      <c r="W48">
        <f t="shared" si="2"/>
        <v>0</v>
      </c>
      <c r="X48">
        <f t="shared" si="2"/>
        <v>0</v>
      </c>
      <c r="Y48">
        <f t="shared" si="2"/>
        <v>0</v>
      </c>
      <c r="Z48">
        <f t="shared" si="2"/>
        <v>0</v>
      </c>
      <c r="AA48">
        <f t="shared" si="2"/>
        <v>0</v>
      </c>
      <c r="AB48">
        <f t="shared" si="2"/>
        <v>0</v>
      </c>
      <c r="AC48">
        <f t="shared" si="2"/>
        <v>0</v>
      </c>
      <c r="AD48">
        <f t="shared" si="2"/>
        <v>0</v>
      </c>
      <c r="AE48">
        <f t="shared" si="2"/>
        <v>0</v>
      </c>
      <c r="AF48">
        <f t="shared" si="2"/>
        <v>0</v>
      </c>
      <c r="AG48">
        <f t="shared" si="2"/>
        <v>0</v>
      </c>
      <c r="AH48">
        <f t="shared" si="2"/>
        <v>0</v>
      </c>
      <c r="AI48">
        <f t="shared" si="2"/>
        <v>0</v>
      </c>
      <c r="AJ48">
        <f t="shared" si="2"/>
        <v>0</v>
      </c>
      <c r="AK48">
        <f t="shared" si="2"/>
        <v>0</v>
      </c>
      <c r="AL48">
        <f t="shared" si="2"/>
        <v>0</v>
      </c>
      <c r="AM48">
        <f t="shared" si="2"/>
        <v>0</v>
      </c>
      <c r="AN48">
        <f t="shared" si="2"/>
        <v>0</v>
      </c>
      <c r="AO48">
        <f t="shared" si="2"/>
        <v>0</v>
      </c>
      <c r="AP48">
        <f t="shared" si="2"/>
        <v>0</v>
      </c>
      <c r="AQ48">
        <f t="shared" si="2"/>
        <v>0</v>
      </c>
      <c r="AR48">
        <f t="shared" si="2"/>
        <v>0</v>
      </c>
      <c r="AS48">
        <f t="shared" si="2"/>
        <v>0</v>
      </c>
      <c r="AT48">
        <f t="shared" si="2"/>
        <v>0</v>
      </c>
      <c r="AU48">
        <f t="shared" si="2"/>
        <v>0</v>
      </c>
      <c r="AV48">
        <f t="shared" si="2"/>
        <v>0</v>
      </c>
      <c r="AW48">
        <f t="shared" si="2"/>
        <v>0</v>
      </c>
      <c r="AX48">
        <f t="shared" si="2"/>
        <v>0</v>
      </c>
      <c r="AY48">
        <f t="shared" si="2"/>
        <v>0</v>
      </c>
      <c r="AZ48">
        <f t="shared" si="2"/>
        <v>0</v>
      </c>
      <c r="BA48">
        <f t="shared" si="2"/>
        <v>0</v>
      </c>
      <c r="BB48">
        <f t="shared" si="2"/>
        <v>0</v>
      </c>
      <c r="BC48">
        <f t="shared" si="2"/>
        <v>0</v>
      </c>
      <c r="BD48">
        <f t="shared" si="2"/>
        <v>0</v>
      </c>
      <c r="BE48">
        <f t="shared" si="2"/>
        <v>0</v>
      </c>
      <c r="BF48">
        <f t="shared" si="2"/>
        <v>0</v>
      </c>
      <c r="BG48">
        <f t="shared" si="2"/>
        <v>0</v>
      </c>
      <c r="BH48">
        <f t="shared" si="2"/>
        <v>0</v>
      </c>
      <c r="BI48">
        <f t="shared" si="2"/>
        <v>0</v>
      </c>
      <c r="BJ48">
        <f t="shared" si="2"/>
        <v>0</v>
      </c>
      <c r="BK48">
        <f t="shared" si="2"/>
        <v>0</v>
      </c>
      <c r="BL48">
        <f t="shared" si="2"/>
        <v>0</v>
      </c>
    </row>
    <row r="50" ht="30" spans="8:15">
      <c r="H50" s="25" t="s">
        <v>55</v>
      </c>
      <c r="I50" s="3"/>
      <c r="J50" s="3"/>
      <c r="K50" s="3"/>
      <c r="L50" s="3"/>
      <c r="M50" s="3"/>
      <c r="N50" s="3"/>
      <c r="O50" s="3"/>
    </row>
  </sheetData>
  <mergeCells count="4">
    <mergeCell ref="H50:O50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15" workbookViewId="0">
      <selection activeCell="E49" sqref="C1:E49"/>
    </sheetView>
  </sheetViews>
  <sheetFormatPr defaultColWidth="9" defaultRowHeight="14.25" outlineLevelCol="4"/>
  <cols>
    <col min="3" max="3" width="15.625" customWidth="1"/>
    <col min="4" max="5" width="11.125" customWidth="1"/>
  </cols>
  <sheetData>
    <row r="1" spans="1:2">
      <c r="A1" s="16" t="s">
        <v>1</v>
      </c>
      <c r="B1" s="17"/>
    </row>
    <row r="2" ht="15" spans="1:5">
      <c r="A2" s="18"/>
      <c r="B2" s="19" t="s">
        <v>2</v>
      </c>
      <c r="C2" s="20"/>
      <c r="D2" s="20"/>
      <c r="E2" s="20"/>
    </row>
    <row r="3" ht="24.75" spans="1:4">
      <c r="A3" s="12" t="s">
        <v>8</v>
      </c>
      <c r="B3" s="21">
        <f>100-COUNTIF(C3:AZ3,"△")*30</f>
        <v>100</v>
      </c>
      <c r="C3" s="22"/>
      <c r="D3" s="22"/>
    </row>
    <row r="4" ht="24" spans="1:4">
      <c r="A4" s="11" t="s">
        <v>10</v>
      </c>
      <c r="B4" s="21">
        <f t="shared" ref="B4:B49" si="0">100-COUNTIF(C4:AZ4,"△")*30</f>
        <v>100</v>
      </c>
      <c r="C4" s="22"/>
      <c r="D4" s="22"/>
    </row>
    <row r="5" ht="24" spans="1:5">
      <c r="A5" s="12" t="s">
        <v>12</v>
      </c>
      <c r="B5" s="21">
        <f t="shared" si="0"/>
        <v>100</v>
      </c>
      <c r="C5" s="22"/>
      <c r="D5" s="22"/>
      <c r="E5" s="22"/>
    </row>
    <row r="6" ht="24" spans="1:4">
      <c r="A6" s="11" t="s">
        <v>13</v>
      </c>
      <c r="B6" s="21">
        <f t="shared" si="0"/>
        <v>100</v>
      </c>
      <c r="C6" s="22"/>
      <c r="D6" s="22"/>
    </row>
    <row r="7" ht="15" spans="1:2">
      <c r="A7" s="12" t="s">
        <v>14</v>
      </c>
      <c r="B7" s="21">
        <f t="shared" si="0"/>
        <v>100</v>
      </c>
    </row>
    <row r="8" ht="15" spans="1:2">
      <c r="A8" s="11" t="s">
        <v>15</v>
      </c>
      <c r="B8" s="21">
        <f t="shared" si="0"/>
        <v>100</v>
      </c>
    </row>
    <row r="9" ht="24" spans="1:4">
      <c r="A9" s="12" t="s">
        <v>16</v>
      </c>
      <c r="B9" s="21">
        <f t="shared" si="0"/>
        <v>100</v>
      </c>
      <c r="D9" s="22"/>
    </row>
    <row r="10" ht="24" spans="1:4">
      <c r="A10" s="11" t="s">
        <v>17</v>
      </c>
      <c r="B10" s="21">
        <f t="shared" si="0"/>
        <v>100</v>
      </c>
      <c r="C10" s="22"/>
      <c r="D10" s="22"/>
    </row>
    <row r="11" ht="24" spans="1:5">
      <c r="A11" s="14" t="s">
        <v>56</v>
      </c>
      <c r="B11" s="21">
        <f t="shared" si="0"/>
        <v>100</v>
      </c>
      <c r="C11" s="22"/>
      <c r="D11" s="22"/>
      <c r="E11" s="22"/>
    </row>
    <row r="12" ht="24" spans="1:4">
      <c r="A12" s="11" t="s">
        <v>18</v>
      </c>
      <c r="B12" s="21">
        <f t="shared" si="0"/>
        <v>100</v>
      </c>
      <c r="D12" s="22"/>
    </row>
    <row r="13" ht="24" spans="1:4">
      <c r="A13" s="12" t="s">
        <v>19</v>
      </c>
      <c r="B13" s="21">
        <f t="shared" si="0"/>
        <v>100</v>
      </c>
      <c r="D13" s="22"/>
    </row>
    <row r="14" ht="24" spans="1:4">
      <c r="A14" s="11" t="s">
        <v>20</v>
      </c>
      <c r="B14" s="21">
        <f t="shared" si="0"/>
        <v>100</v>
      </c>
      <c r="D14" s="22"/>
    </row>
    <row r="15" ht="24" spans="1:4">
      <c r="A15" s="12" t="s">
        <v>21</v>
      </c>
      <c r="B15" s="21">
        <f t="shared" si="0"/>
        <v>100</v>
      </c>
      <c r="D15" s="22"/>
    </row>
    <row r="16" ht="24" spans="1:5">
      <c r="A16" s="11" t="s">
        <v>22</v>
      </c>
      <c r="B16" s="21">
        <f t="shared" si="0"/>
        <v>100</v>
      </c>
      <c r="C16" s="22"/>
      <c r="D16" s="22"/>
      <c r="E16" s="22"/>
    </row>
    <row r="17" ht="24" spans="1:4">
      <c r="A17" s="12" t="s">
        <v>23</v>
      </c>
      <c r="B17" s="21">
        <f t="shared" si="0"/>
        <v>100</v>
      </c>
      <c r="D17" s="22"/>
    </row>
    <row r="18" ht="24" spans="1:4">
      <c r="A18" s="11" t="s">
        <v>24</v>
      </c>
      <c r="B18" s="21">
        <f t="shared" si="0"/>
        <v>100</v>
      </c>
      <c r="D18" s="22"/>
    </row>
    <row r="19" ht="24" spans="1:5">
      <c r="A19" s="12" t="s">
        <v>25</v>
      </c>
      <c r="B19" s="21">
        <f t="shared" si="0"/>
        <v>100</v>
      </c>
      <c r="C19" s="22"/>
      <c r="D19" s="22"/>
      <c r="E19" s="22"/>
    </row>
    <row r="20" ht="24" spans="1:4">
      <c r="A20" s="11" t="s">
        <v>26</v>
      </c>
      <c r="B20" s="21">
        <f t="shared" si="0"/>
        <v>100</v>
      </c>
      <c r="D20" s="22"/>
    </row>
    <row r="21" ht="24" spans="1:4">
      <c r="A21" s="12" t="s">
        <v>27</v>
      </c>
      <c r="B21" s="21">
        <f t="shared" si="0"/>
        <v>100</v>
      </c>
      <c r="D21" s="22"/>
    </row>
    <row r="22" ht="15" spans="1:2">
      <c r="A22" s="11" t="s">
        <v>28</v>
      </c>
      <c r="B22" s="21">
        <f t="shared" si="0"/>
        <v>100</v>
      </c>
    </row>
    <row r="23" ht="15" spans="1:2">
      <c r="A23" s="12" t="s">
        <v>29</v>
      </c>
      <c r="B23" s="21">
        <f t="shared" si="0"/>
        <v>100</v>
      </c>
    </row>
    <row r="24" ht="24" spans="1:5">
      <c r="A24" s="11" t="s">
        <v>30</v>
      </c>
      <c r="B24" s="21">
        <f t="shared" si="0"/>
        <v>100</v>
      </c>
      <c r="C24" s="22"/>
      <c r="D24" s="22"/>
      <c r="E24" s="22"/>
    </row>
    <row r="25" ht="24" spans="1:5">
      <c r="A25" s="12" t="s">
        <v>31</v>
      </c>
      <c r="B25" s="21">
        <f t="shared" si="0"/>
        <v>100</v>
      </c>
      <c r="C25" s="22"/>
      <c r="D25" s="22"/>
      <c r="E25" s="22"/>
    </row>
    <row r="26" ht="24" spans="1:5">
      <c r="A26" s="11" t="s">
        <v>32</v>
      </c>
      <c r="B26" s="21">
        <f t="shared" si="0"/>
        <v>100</v>
      </c>
      <c r="C26" s="22"/>
      <c r="D26" s="22"/>
      <c r="E26" s="22"/>
    </row>
    <row r="27" ht="24" spans="1:5">
      <c r="A27" s="15" t="s">
        <v>57</v>
      </c>
      <c r="B27" s="21">
        <f t="shared" si="0"/>
        <v>100</v>
      </c>
      <c r="C27" s="22"/>
      <c r="D27" s="22"/>
      <c r="E27" s="22"/>
    </row>
    <row r="28" ht="15" spans="1:2">
      <c r="A28" s="11" t="s">
        <v>33</v>
      </c>
      <c r="B28" s="21">
        <f t="shared" si="0"/>
        <v>100</v>
      </c>
    </row>
    <row r="29" ht="15" spans="1:2">
      <c r="A29" s="12" t="s">
        <v>34</v>
      </c>
      <c r="B29" s="21">
        <f t="shared" si="0"/>
        <v>100</v>
      </c>
    </row>
    <row r="30" ht="24" spans="1:5">
      <c r="A30" s="11" t="s">
        <v>35</v>
      </c>
      <c r="B30" s="21">
        <f t="shared" si="0"/>
        <v>100</v>
      </c>
      <c r="C30" s="22"/>
      <c r="D30" s="22"/>
      <c r="E30" s="22"/>
    </row>
    <row r="31" ht="24" spans="1:5">
      <c r="A31" s="12" t="s">
        <v>36</v>
      </c>
      <c r="B31" s="21">
        <f t="shared" si="0"/>
        <v>100</v>
      </c>
      <c r="C31" s="22"/>
      <c r="D31" s="22"/>
      <c r="E31" s="22"/>
    </row>
    <row r="32" ht="24" spans="1:4">
      <c r="A32" s="11" t="s">
        <v>37</v>
      </c>
      <c r="B32" s="21">
        <f t="shared" si="0"/>
        <v>100</v>
      </c>
      <c r="C32" s="22"/>
      <c r="D32" s="22"/>
    </row>
    <row r="33" ht="24" spans="1:3">
      <c r="A33" s="12" t="s">
        <v>38</v>
      </c>
      <c r="B33" s="21">
        <f t="shared" si="0"/>
        <v>100</v>
      </c>
      <c r="C33" s="22"/>
    </row>
    <row r="34" ht="24" spans="1:5">
      <c r="A34" s="11" t="s">
        <v>39</v>
      </c>
      <c r="B34" s="21">
        <f t="shared" si="0"/>
        <v>100</v>
      </c>
      <c r="C34" s="22"/>
      <c r="D34" s="22"/>
      <c r="E34" s="22"/>
    </row>
    <row r="35" ht="24" spans="1:5">
      <c r="A35" s="12" t="s">
        <v>40</v>
      </c>
      <c r="B35" s="21">
        <f t="shared" si="0"/>
        <v>100</v>
      </c>
      <c r="C35" s="22"/>
      <c r="D35" s="22"/>
      <c r="E35" s="22"/>
    </row>
    <row r="36" ht="15" spans="1:2">
      <c r="A36" s="11" t="s">
        <v>41</v>
      </c>
      <c r="B36" s="21">
        <f t="shared" si="0"/>
        <v>100</v>
      </c>
    </row>
    <row r="37" ht="24" spans="1:5">
      <c r="A37" s="12" t="s">
        <v>42</v>
      </c>
      <c r="B37" s="21">
        <f t="shared" si="0"/>
        <v>100</v>
      </c>
      <c r="D37" s="22"/>
      <c r="E37" s="22"/>
    </row>
    <row r="38" ht="24" spans="1:5">
      <c r="A38" s="11" t="s">
        <v>43</v>
      </c>
      <c r="B38" s="21">
        <f t="shared" si="0"/>
        <v>100</v>
      </c>
      <c r="C38" s="22"/>
      <c r="D38" s="22"/>
      <c r="E38" s="22"/>
    </row>
    <row r="39" ht="24" spans="1:5">
      <c r="A39" s="12" t="s">
        <v>44</v>
      </c>
      <c r="B39" s="21">
        <f t="shared" si="0"/>
        <v>100</v>
      </c>
      <c r="C39" s="22"/>
      <c r="D39" s="22"/>
      <c r="E39" s="22"/>
    </row>
    <row r="40" ht="24" spans="1:5">
      <c r="A40" s="11" t="s">
        <v>45</v>
      </c>
      <c r="B40" s="21">
        <f t="shared" si="0"/>
        <v>100</v>
      </c>
      <c r="C40" s="22"/>
      <c r="D40" s="22"/>
      <c r="E40" s="22"/>
    </row>
    <row r="41" ht="24" spans="1:4">
      <c r="A41" s="12" t="s">
        <v>46</v>
      </c>
      <c r="B41" s="21">
        <f t="shared" si="0"/>
        <v>100</v>
      </c>
      <c r="D41" s="22"/>
    </row>
    <row r="42" ht="24" spans="1:5">
      <c r="A42" s="11" t="s">
        <v>47</v>
      </c>
      <c r="B42" s="21">
        <f t="shared" si="0"/>
        <v>100</v>
      </c>
      <c r="C42" s="22"/>
      <c r="D42" s="22"/>
      <c r="E42" s="22"/>
    </row>
    <row r="43" ht="15" spans="1:2">
      <c r="A43" s="12" t="s">
        <v>48</v>
      </c>
      <c r="B43" s="21">
        <f t="shared" si="0"/>
        <v>100</v>
      </c>
    </row>
    <row r="44" ht="24" spans="1:5">
      <c r="A44" s="11" t="s">
        <v>49</v>
      </c>
      <c r="B44" s="21">
        <f t="shared" si="0"/>
        <v>100</v>
      </c>
      <c r="C44" s="22"/>
      <c r="D44" s="22"/>
      <c r="E44" s="22"/>
    </row>
    <row r="45" ht="24" spans="1:5">
      <c r="A45" s="12" t="s">
        <v>50</v>
      </c>
      <c r="B45" s="21">
        <f t="shared" si="0"/>
        <v>100</v>
      </c>
      <c r="C45" s="22"/>
      <c r="D45" s="22"/>
      <c r="E45" s="22"/>
    </row>
    <row r="46" ht="24" spans="1:5">
      <c r="A46" s="11" t="s">
        <v>51</v>
      </c>
      <c r="B46" s="21">
        <f t="shared" si="0"/>
        <v>100</v>
      </c>
      <c r="C46" s="22"/>
      <c r="D46" s="22"/>
      <c r="E46" s="22"/>
    </row>
    <row r="47" ht="24" spans="1:5">
      <c r="A47" s="12" t="s">
        <v>52</v>
      </c>
      <c r="B47" s="21">
        <f t="shared" si="0"/>
        <v>100</v>
      </c>
      <c r="C47" s="22"/>
      <c r="D47" s="22"/>
      <c r="E47" s="22"/>
    </row>
    <row r="48" ht="15" spans="1:2">
      <c r="A48" s="11" t="s">
        <v>53</v>
      </c>
      <c r="B48" s="21">
        <f t="shared" si="0"/>
        <v>100</v>
      </c>
    </row>
    <row r="49" ht="15" spans="1:2">
      <c r="A49" s="12" t="s">
        <v>54</v>
      </c>
      <c r="B49" s="21">
        <f t="shared" si="0"/>
        <v>100</v>
      </c>
    </row>
  </sheetData>
  <mergeCells count="1"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workbookViewId="0">
      <selection activeCell="M12" sqref="$A1:$XFD1048576"/>
    </sheetView>
  </sheetViews>
  <sheetFormatPr defaultColWidth="9" defaultRowHeight="14.25"/>
  <sheetData>
    <row r="1" spans="1:5">
      <c r="A1" s="2"/>
      <c r="B1" s="3"/>
      <c r="C1" s="3"/>
      <c r="D1" s="3"/>
      <c r="E1" s="3"/>
    </row>
    <row r="2" ht="15"/>
    <row r="3" s="1" customFormat="1" ht="15" spans="1:13">
      <c r="A3" s="4"/>
      <c r="B3" s="4"/>
      <c r="C3" s="5"/>
      <c r="D3" s="5"/>
      <c r="E3" s="5"/>
      <c r="F3" s="4"/>
      <c r="G3" s="6"/>
      <c r="H3" s="7"/>
      <c r="I3" s="12"/>
      <c r="J3" s="12"/>
      <c r="K3" s="6"/>
      <c r="L3" s="11"/>
      <c r="M3" s="11"/>
    </row>
    <row r="4" ht="15" spans="1:13">
      <c r="A4" s="7"/>
      <c r="B4" s="5"/>
      <c r="C4" s="5"/>
      <c r="D4" s="8"/>
      <c r="E4" s="5"/>
      <c r="F4" s="6"/>
      <c r="G4" s="9"/>
      <c r="H4" s="9"/>
      <c r="I4" s="6"/>
      <c r="J4" s="6"/>
      <c r="K4" s="6"/>
      <c r="L4" s="12"/>
      <c r="M4" s="12"/>
    </row>
    <row r="5" ht="15" spans="1:13">
      <c r="A5" s="9"/>
      <c r="B5" s="10"/>
      <c r="C5" s="4"/>
      <c r="D5" s="11"/>
      <c r="E5" s="5"/>
      <c r="F5" s="4"/>
      <c r="G5" s="5"/>
      <c r="H5" s="7"/>
      <c r="I5" s="11"/>
      <c r="J5" s="12"/>
      <c r="K5" s="9"/>
      <c r="L5" s="11"/>
      <c r="M5" s="11"/>
    </row>
    <row r="6" ht="15" spans="1:13">
      <c r="A6" s="7"/>
      <c r="B6" s="5"/>
      <c r="C6" s="6"/>
      <c r="D6" s="12"/>
      <c r="E6" s="6"/>
      <c r="F6" s="5"/>
      <c r="G6" s="4"/>
      <c r="H6" s="10"/>
      <c r="I6" s="12"/>
      <c r="J6" s="6"/>
      <c r="K6" s="6"/>
      <c r="L6" s="12"/>
      <c r="M6" s="12"/>
    </row>
    <row r="7" ht="15" spans="1:13">
      <c r="A7" s="10"/>
      <c r="C7" s="4"/>
      <c r="D7" s="11"/>
      <c r="E7" s="11"/>
      <c r="F7" s="4"/>
      <c r="G7" s="5"/>
      <c r="H7" s="7"/>
      <c r="I7" s="11"/>
      <c r="J7" s="12"/>
      <c r="K7" s="9"/>
      <c r="M7" s="12"/>
    </row>
    <row r="8" ht="15" spans="1:11">
      <c r="A8" s="5"/>
      <c r="B8" s="5"/>
      <c r="D8" s="4"/>
      <c r="E8" s="9"/>
      <c r="G8" s="4"/>
      <c r="H8" s="12"/>
      <c r="J8" s="13"/>
      <c r="K8" s="6"/>
    </row>
    <row r="9" ht="15" spans="1:11">
      <c r="A9" s="10"/>
      <c r="D9" s="5"/>
      <c r="E9" s="5"/>
      <c r="H9" s="13"/>
      <c r="J9" s="12"/>
      <c r="K9" s="6"/>
    </row>
    <row r="10" ht="15" spans="1:11">
      <c r="A10" s="5"/>
      <c r="D10" s="9"/>
      <c r="E10" s="4"/>
      <c r="H10" s="14"/>
      <c r="K10" s="6"/>
    </row>
    <row r="11" ht="15" spans="1:11">
      <c r="A11" s="14"/>
      <c r="D11" s="6"/>
      <c r="H11" s="11"/>
      <c r="K11" s="9"/>
    </row>
    <row r="12" ht="15" spans="1:11">
      <c r="A12" s="5"/>
      <c r="D12" s="15"/>
      <c r="K12" s="6"/>
    </row>
    <row r="13" ht="15" spans="1:11">
      <c r="A13" s="10"/>
      <c r="D13" s="5"/>
      <c r="K13" s="12"/>
    </row>
    <row r="14" ht="15" spans="4:11">
      <c r="D14" s="4"/>
      <c r="K14" s="6"/>
    </row>
    <row r="15" ht="15" spans="4:11">
      <c r="D15" s="6"/>
      <c r="K15" s="9"/>
    </row>
    <row r="16" ht="15" spans="4:11">
      <c r="D16" s="9"/>
      <c r="K16" s="6"/>
    </row>
    <row r="17" ht="15" spans="4:11">
      <c r="D17" s="5"/>
      <c r="K17" s="9"/>
    </row>
    <row r="18" ht="15" spans="4:11">
      <c r="D18" s="4"/>
      <c r="K18" s="6"/>
    </row>
    <row r="19" ht="15" spans="11:11">
      <c r="K19" s="9"/>
    </row>
    <row r="20" ht="15" spans="11:11">
      <c r="K20" s="6"/>
    </row>
    <row r="21" ht="15" spans="11:11">
      <c r="K21" s="9"/>
    </row>
    <row r="22" ht="15" spans="11:11">
      <c r="K22" s="6"/>
    </row>
    <row r="23" ht="15" spans="11:11">
      <c r="K23" s="9"/>
    </row>
    <row r="24" ht="15" spans="11:11">
      <c r="K24" s="11"/>
    </row>
    <row r="25" ht="15" spans="11:11">
      <c r="K25" s="9"/>
    </row>
    <row r="26" ht="15" spans="11:11">
      <c r="K26" s="6"/>
    </row>
    <row r="27" ht="15" spans="11:11">
      <c r="K27" s="9"/>
    </row>
    <row r="28" ht="15" spans="11:11">
      <c r="K28" s="6"/>
    </row>
    <row r="29" ht="15" spans="11:11">
      <c r="K29" s="8"/>
    </row>
    <row r="30" ht="15" spans="11:11">
      <c r="K30" s="9"/>
    </row>
    <row r="31" ht="15" spans="11:11">
      <c r="K31" s="11"/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2026-03-18T01:31:50Z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